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2451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002F4858"/>
      <sz val="16"/>
    </font>
    <font>
      <name val="Arial"/>
      <i val="1"/>
      <color rgb="00666666"/>
      <sz val="10"/>
    </font>
    <font>
      <name val="Arial"/>
      <b val="1"/>
      <sz val="10"/>
    </font>
    <font>
      <name val="Arial"/>
      <b val="1"/>
      <color rgb="002F4858"/>
      <sz val="12"/>
    </font>
    <font>
      <name val="Arial"/>
      <sz val="10"/>
    </font>
    <font>
      <name val="Arial"/>
      <b val="1"/>
      <color rgb="00FFFFFF"/>
      <sz val="10"/>
    </font>
    <font>
      <name val="Arial"/>
      <color rgb="000000FF"/>
      <sz val="10"/>
    </font>
    <font>
      <name val="Arial"/>
      <b val="1"/>
      <color rgb="00FFFFFF"/>
      <sz val="7"/>
    </font>
  </fonts>
  <fills count="4">
    <fill>
      <patternFill/>
    </fill>
    <fill>
      <patternFill patternType="gray125"/>
    </fill>
    <fill>
      <patternFill patternType="solid">
        <fgColor rgb="002F4858"/>
      </patternFill>
    </fill>
    <fill>
      <patternFill patternType="solid">
        <fgColor rgb="00FFF2CC"/>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cellXfs>
  <cellStyles count="1">
    <cellStyle name="Normal" xfId="0" builtinId="0" hidden="0"/>
  </cellStyles>
  <dxfs count="6">
    <dxf>
      <fill>
        <patternFill patternType="solid">
          <fgColor rgb="00FFE699"/>
        </patternFill>
      </fill>
    </dxf>
    <dxf>
      <fill>
        <patternFill patternType="solid">
          <fgColor rgb="00C6E0B4"/>
        </patternFill>
      </fill>
    </dxf>
    <dxf>
      <fill>
        <patternFill patternType="solid">
          <fgColor rgb="007F77DD"/>
        </patternFill>
      </fill>
    </dxf>
    <dxf>
      <fill>
        <patternFill patternType="solid">
          <fgColor rgb="00F8CBAD"/>
        </patternFill>
      </fill>
    </dxf>
    <dxf>
      <fill>
        <patternFill patternType="solid">
          <fgColor rgb="00DDEBF7"/>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10" customWidth="1" min="1" max="1"/>
    <col width="12" customWidth="1" min="2" max="2"/>
    <col width="12" customWidth="1" min="3" max="3"/>
    <col width="50" customWidth="1" min="4" max="4"/>
  </cols>
  <sheetData>
    <row r="1">
      <c r="A1" s="1" t="inlineStr">
        <is>
          <t>Project Odyssey - MVP Backlog</t>
        </is>
      </c>
    </row>
    <row r="2">
      <c r="A2" s="2" t="inlineStr">
        <is>
          <t>Working tracker for developers. The source of truth is Project Odyssey.docx, chapter 12; this workbook is generated from the same data.</t>
        </is>
      </c>
    </row>
    <row r="3"/>
    <row r="4">
      <c r="A4" s="3" t="inlineStr">
        <is>
          <t>How to use</t>
        </is>
      </c>
    </row>
    <row r="5">
      <c r="A5" s="4" t="inlineStr">
        <is>
          <t>1. Work milestone by milestone (Timeline sheet). Never start a story whose dependencies are not Decided (Dependencies sheet).</t>
        </is>
      </c>
    </row>
    <row r="6">
      <c r="A6" s="4" t="inlineStr">
        <is>
          <t>2. Update only the yellow cells: Status on the User Stories sheet, the project start date and week estimates on the Timeline sheet.</t>
        </is>
      </c>
    </row>
    <row r="7">
      <c r="A7" s="4" t="inlineStr">
        <is>
          <t>3. Status values: To do, In progress, Blocked, Done. A story is Done only when it meets the Definition of Done.</t>
        </is>
      </c>
    </row>
    <row r="8">
      <c r="A8" s="4" t="inlineStr">
        <is>
          <t>4. Epic progress and the timeline recalculate automatically.</t>
        </is>
      </c>
    </row>
    <row r="9">
      <c r="A9" s="4" t="inlineStr">
        <is>
          <t>5. Example: set US-001 to 'In progress' when you start installing tools, and to 'Done' when a clean checkout builds and debugs.</t>
        </is>
      </c>
    </row>
    <row r="10"/>
    <row r="11">
      <c r="A11" s="5" t="inlineStr">
        <is>
          <t>Story sizes (used by formulas)</t>
        </is>
      </c>
    </row>
    <row r="12">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16" customWidth="1" min="2" max="2"/>
    <col width="80" customWidth="1" min="3" max="3"/>
    <col width="24" customWidth="1" min="4" max="4"/>
    <col width="30" customWidth="1" min="5" max="5"/>
  </cols>
  <sheetData>
    <row r="1">
      <c r="A1" s="1" t="inlineStr">
        <is>
          <t>MVP definition</t>
        </is>
      </c>
    </row>
    <row r="2">
      <c r="A2" s="2" t="inlineStr">
        <is>
          <t>Product Owner + Solution Architect, 2026-09-29. Status 'Proposed' = awaiting your decision.</t>
        </is>
      </c>
    </row>
    <row r="3"/>
    <row r="4">
      <c r="A4" s="5" t="inlineStr">
        <is>
          <t>Hypothesis</t>
        </is>
      </c>
    </row>
    <row r="5" ht="75" customHeight="1">
      <c r="A5" s="4"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6"/>
    <row r="7">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Proposed</t>
        </is>
      </c>
      <c r="E9" s="9" t="inlineStr">
        <is>
          <t>PLT-01, PLT-02</t>
        </is>
      </c>
    </row>
    <row r="10">
      <c r="A10" s="7" t="inlineStr">
        <is>
          <t>MVP-02</t>
        </is>
      </c>
      <c r="B10" s="9" t="inlineStr">
        <is>
          <t>Age</t>
        </is>
      </c>
      <c r="C10" s="9" t="inlineStr">
        <is>
          <t>Age 1 only: Late Paleolithic, Age of Embers (c. 40,000 BCE).</t>
        </is>
      </c>
      <c r="D10" s="9" t="inlineStr">
        <is>
          <t>Proposed</t>
        </is>
      </c>
      <c r="E10" s="9" t="inlineStr">
        <is>
          <t>ENV-01, ENV-09</t>
        </is>
      </c>
    </row>
    <row r="11">
      <c r="A11" s="7" t="inlineStr">
        <is>
          <t>MVP-03</t>
        </is>
      </c>
      <c r="B11" s="9" t="inlineStr">
        <is>
          <t>World</t>
        </is>
      </c>
      <c r="C11" s="9" t="inlineStr">
        <is>
          <t>One procedurally generated region (256 x 256 tiles, 64 x 64-tile chunks), not a whole planet. Bounded edges; planet projection deferred.</t>
        </is>
      </c>
      <c r="D11" s="9" t="inlineStr">
        <is>
          <t>Proposed</t>
        </is>
      </c>
      <c r="E11" s="9" t="inlineStr">
        <is>
          <t>ENV-03, ARC-06, OPEN-02</t>
        </is>
      </c>
    </row>
    <row r="12">
      <c r="A12" s="7" t="inlineStr">
        <is>
          <t>MVP-04</t>
        </is>
      </c>
      <c r="B12" s="9" t="inlineStr">
        <is>
          <t>Game Mode</t>
        </is>
      </c>
      <c r="C12" s="9" t="inlineStr">
        <is>
          <t>One Hero per Age only (smallest scope, recommended first mode).</t>
        </is>
      </c>
      <c r="D12" s="9" t="inlineStr">
        <is>
          <t>Proposed</t>
        </is>
      </c>
      <c r="E12" s="9" t="inlineStr">
        <is>
          <t>CHR-02</t>
        </is>
      </c>
    </row>
    <row r="13">
      <c r="A13" s="7" t="inlineStr">
        <is>
          <t>MVP-05</t>
        </is>
      </c>
      <c r="B13" s="9" t="inlineStr">
        <is>
          <t>Modifiers</t>
        </is>
      </c>
      <c r="C13" s="9" t="inlineStr">
        <is>
          <t>Only the baseline modifier Random per World, plus Growing Period presets (Off / Compressed / Full) and the Comfort dial (Cozy / Balanced / Harsh).</t>
        </is>
      </c>
      <c r="D13" s="9" t="inlineStr">
        <is>
          <t>Proposed</t>
        </is>
      </c>
      <c r="E13" s="9" t="inlineStr">
        <is>
          <t>CHR-03, CHR-06, ENV-07</t>
        </is>
      </c>
    </row>
    <row r="14">
      <c r="A14" s="7" t="inlineStr">
        <is>
          <t>MVP-06</t>
        </is>
      </c>
      <c r="B14" s="9" t="inlineStr">
        <is>
          <t>Character</t>
        </is>
      </c>
      <c r="C14" s="9" t="inlineStr">
        <is>
          <t>Full Growing Period (ages 12-26) with Focus slots, Crossroads events, imprint curve and the Mantle moment; aging and death.</t>
        </is>
      </c>
      <c r="D14" s="9" t="inlineStr">
        <is>
          <t>Proposed</t>
        </is>
      </c>
      <c r="E14" s="9" t="inlineStr">
        <is>
          <t>CHR-05, CHR-06</t>
        </is>
      </c>
    </row>
    <row r="15">
      <c r="A15" s="7" t="inlineStr">
        <is>
          <t>MVP-07</t>
        </is>
      </c>
      <c r="B15" s="9" t="inlineStr">
        <is>
          <t>Professions</t>
        </is>
      </c>
      <c r="C15" s="9" t="inlineStr">
        <is>
          <t>Five Age 1 professions, data-driven: Hunter, Gatherer, Flint-knapper, Fire-keeper, Shaman-healer.</t>
        </is>
      </c>
      <c r="D15" s="9" t="inlineStr">
        <is>
          <t>Proposed</t>
        </is>
      </c>
      <c r="E15" s="9" t="inlineStr">
        <is>
          <t>CHR-07, Flag 5</t>
        </is>
      </c>
    </row>
    <row r="16">
      <c r="A16" s="7" t="inlineStr">
        <is>
          <t>MVP-08</t>
        </is>
      </c>
      <c r="B16" s="9" t="inlineStr">
        <is>
          <t>Pillars</t>
        </is>
      </c>
      <c r="C16" s="9" t="inlineStr">
        <is>
          <t>Two pillars playable at region scale: Trade (barter and debts) and Religion (sacred fire and followers). The other four are shown as locked 'later Ages'.</t>
        </is>
      </c>
      <c r="D16" s="9" t="inlineStr">
        <is>
          <t>Proposed</t>
        </is>
      </c>
      <c r="E16" s="9" t="inlineStr">
        <is>
          <t>PIL-02, PIL-04, ENV-10</t>
        </is>
      </c>
    </row>
    <row r="17">
      <c r="A17" s="7" t="inlineStr">
        <is>
          <t>MVP-09</t>
        </is>
      </c>
      <c r="B17" s="9" t="inlineStr">
        <is>
          <t>Victory</t>
        </is>
      </c>
      <c r="C17" s="9" t="inlineStr">
        <is>
          <t>Win: your clan leads the region (Dominion 60% in Trade or Religion, or 50% combined). Lose: your hero dies before the Mantle moment, or your clan disbands.</t>
        </is>
      </c>
      <c r="D17" s="9" t="inlineStr">
        <is>
          <t>Proposed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Proposed</t>
        </is>
      </c>
      <c r="E18" s="9" t="inlineStr">
        <is>
          <t>ARC-05, ADR-013</t>
        </is>
      </c>
    </row>
    <row r="19">
      <c r="A19" s="7" t="inlineStr">
        <is>
          <t>MVP-11</t>
        </is>
      </c>
      <c r="B19" s="9" t="inlineStr">
        <is>
          <t>Presentation</t>
        </is>
      </c>
      <c r="C19" s="9" t="inlineStr">
        <is>
          <t>Layered 32 x 48 sprites with 3 outfits per body; programmer or placeholder art allowed; minimal sound effects.</t>
        </is>
      </c>
      <c r="D19" s="9" t="inlineStr">
        <is>
          <t>Proposed</t>
        </is>
      </c>
      <c r="E19" s="9" t="inlineStr">
        <is>
          <t>ENV-11, ENV-12, OPEN-11, OPEN-12</t>
        </is>
      </c>
    </row>
    <row r="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row r="23">
      <c r="A23" s="5" t="inlineStr">
        <is>
          <t>Success and kill criteria (decided before building)</t>
        </is>
      </c>
    </row>
    <row r="24">
      <c r="A24" s="6" t="inlineStr">
        <is>
          <t>Metric</t>
        </is>
      </c>
      <c r="B24" s="6" t="inlineStr">
        <is>
          <t>Target</t>
        </is>
      </c>
      <c r="C24" s="6" t="inlineStr">
        <is>
          <t>How measured</t>
        </is>
      </c>
      <c r="D24" s="6" t="inlineStr">
        <is>
          <t>Gate</t>
        </is>
      </c>
    </row>
    <row r="25">
      <c r="A25" s="7" t="inlineStr">
        <is>
          <t>Voluntary play time</t>
        </is>
      </c>
      <c r="B25" s="9" t="inlineStr">
        <is>
          <t>5 of 8 playtesters play 30+ minutes without being asked to continue</t>
        </is>
      </c>
      <c r="C25" s="9" t="inlineStr">
        <is>
          <t>Observation + local session log (US-092)</t>
        </is>
      </c>
      <c r="D25" s="9" t="inlineStr">
        <is>
          <t>M6</t>
        </is>
      </c>
    </row>
    <row r="26">
      <c r="A26" s="7" t="inlineStr">
        <is>
          <t>Emergent story</t>
        </is>
      </c>
      <c r="B26" s="9" t="inlineStr">
        <is>
          <t>3 of 8 can retell a story that came from the simulation, not from a script</t>
        </is>
      </c>
      <c r="C26" s="9" t="inlineStr">
        <is>
          <t>Post-play interview</t>
        </is>
      </c>
      <c r="D26" s="9" t="inlineStr">
        <is>
          <t>M6</t>
        </is>
      </c>
    </row>
    <row r="27">
      <c r="A27" s="7" t="inlineStr">
        <is>
          <t>Chronicle interest (early)</t>
        </is>
      </c>
      <c r="B27" s="9" t="inlineStr">
        <is>
          <t>2 of 3 readers find a story in the console chronicle</t>
        </is>
      </c>
      <c r="C27" s="9" t="inlineStr">
        <is>
          <t>Show printed chronicle</t>
        </is>
      </c>
      <c r="D27" s="9" t="inlineStr">
        <is>
          <t>M2</t>
        </is>
      </c>
    </row>
    <row r="28">
      <c r="A28" s="7" t="inlineStr">
        <is>
          <t>Frame rate</t>
        </is>
      </c>
      <c r="B28" s="9" t="inlineStr">
        <is>
          <t>60 FPS with 500 simulated agents in the region on the minimum PC (OPEN-19)</t>
        </is>
      </c>
      <c r="C28" s="9" t="inlineStr">
        <is>
          <t>FPS overlay (US-082)</t>
        </is>
      </c>
      <c r="D28" s="9" t="inlineStr">
        <is>
          <t>M5</t>
        </is>
      </c>
    </row>
    <row r="29">
      <c r="A29" s="7" t="inlineStr">
        <is>
          <t>Determinism</t>
        </is>
      </c>
      <c r="B29" s="9" t="inlineStr">
        <is>
          <t>Same seed + inputs give the same world hash after 10,000 ticks</t>
        </is>
      </c>
      <c r="C29" s="9" t="inlineStr">
        <is>
          <t>Automated test in CI</t>
        </is>
      </c>
      <c r="D29" s="9" t="inlineStr">
        <is>
          <t>M2 onwards</t>
        </is>
      </c>
    </row>
    <row r="30">
      <c r="A30" s="7" t="inlineStr">
        <is>
          <t>Stability</t>
        </is>
      </c>
      <c r="B30" s="9" t="inlineStr">
        <is>
          <t>No crash in a 2-hour play session or a 100-year soak test</t>
        </is>
      </c>
      <c r="C30" s="9" t="inlineStr">
        <is>
          <t>Soak test + crash log</t>
        </is>
      </c>
      <c r="D30" s="9" t="inlineStr">
        <is>
          <t>M5, M6</t>
        </is>
      </c>
    </row>
    <row r="31">
      <c r="A31" s="7" t="inlineStr">
        <is>
          <t>Kill / pivot rule</t>
        </is>
      </c>
      <c r="B31" s="9" t="inlineStr">
        <is>
          <t>If M2 or M6 fails: stop adding content; redesign the simulation or the loop first</t>
        </is>
      </c>
      <c r="C31" s="9" t="inlineStr">
        <is>
          <t>Owner decision, recorded</t>
        </is>
      </c>
      <c r="D31" s="9" t="inlineStr">
        <is>
          <t>M2, M6</t>
        </is>
      </c>
    </row>
  </sheetData>
  <mergeCells count="1">
    <mergeCell ref="A5:E5"/>
  </mergeCells>
  <conditionalFormatting sqref="D9:D20">
    <cfRule type="cellIs" priority="1" operator="equal" dxfId="0">
      <formula>"Proposed"</formula>
    </cfRule>
    <cfRule type="cellIs" priority="2" operator="equal" dxfId="1">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Q20"/>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30" customWidth="1" min="2" max="2"/>
    <col width="9" customWidth="1" min="3" max="3"/>
    <col width="11" customWidth="1" min="4" max="4"/>
    <col width="11" customWidth="1" min="5" max="5"/>
    <col width="9" customWidth="1" min="6" max="6"/>
    <col width="8" customWidth="1" min="7" max="7"/>
    <col width="9" customWidth="1" min="8" max="8"/>
    <col width="12" customWidth="1" min="9" max="9"/>
    <col width="12" customWidth="1" min="10" max="10"/>
    <col width="12" customWidth="1" min="11" max="11"/>
    <col width="12" customWidth="1" min="12" max="12"/>
    <col width="13" customWidth="1" min="13" max="13"/>
    <col width="60" customWidth="1" min="14" max="14"/>
    <col width="3" customWidth="1" min="16" max="16"/>
    <col width="3" customWidth="1" min="17" max="17"/>
    <col width="3" customWidth="1" min="18" max="18"/>
    <col width="3" customWidth="1" min="19" max="19"/>
    <col width="3" customWidth="1" min="20" max="20"/>
    <col width="3" customWidth="1" min="21" max="21"/>
    <col width="3" customWidth="1" min="22" max="22"/>
    <col width="3" customWidth="1" min="23" max="23"/>
    <col width="3" customWidth="1" min="24" max="24"/>
    <col width="3" customWidth="1" min="25" max="25"/>
    <col width="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3" customWidth="1" min="38" max="38"/>
    <col width="3" customWidth="1" min="39" max="39"/>
    <col width="3" customWidth="1" min="40" max="40"/>
    <col width="3" customWidth="1" min="41" max="41"/>
    <col width="3" customWidth="1" min="42" max="42"/>
    <col width="3" customWidth="1" min="43" max="43"/>
    <col width="3" customWidth="1" min="44" max="44"/>
    <col width="3" customWidth="1" min="45" max="45"/>
    <col width="3" customWidth="1" min="46" max="46"/>
    <col width="3" customWidth="1" min="47" max="47"/>
    <col width="3" customWidth="1" min="48" max="48"/>
    <col width="3" customWidth="1" min="49" max="49"/>
    <col width="3" customWidth="1" min="50" max="50"/>
    <col width="3" customWidth="1" min="51" max="51"/>
    <col width="3" customWidth="1" min="52" max="52"/>
    <col width="3" customWidth="1" min="53" max="53"/>
    <col width="3" customWidth="1" min="54" max="54"/>
    <col width="3" customWidth="1" min="55" max="55"/>
    <col width="3" customWidth="1" min="56" max="56"/>
    <col width="3" customWidth="1" min="57" max="57"/>
    <col width="3" customWidth="1" min="58" max="58"/>
    <col width="3" customWidth="1" min="59" max="59"/>
    <col width="3" customWidth="1" min="60" max="60"/>
    <col width="3" customWidth="1" min="61" max="61"/>
    <col width="3" customWidth="1" min="62" max="62"/>
    <col width="3" customWidth="1" min="63" max="63"/>
    <col width="3" customWidth="1" min="64" max="64"/>
    <col width="3" customWidth="1" min="65" max="65"/>
    <col width="3" customWidth="1" min="66" max="66"/>
    <col width="3" customWidth="1" min="67" max="67"/>
    <col width="3" customWidth="1" min="68" max="68"/>
    <col width="3" customWidth="1" min="69" max="69"/>
    <col width="3" customWidth="1" min="70" max="70"/>
    <col width="3" customWidth="1" min="71" max="71"/>
    <col width="3" customWidth="1" min="72" max="72"/>
    <col width="3" customWidth="1" min="73" max="73"/>
    <col width="3" customWidth="1" min="74" max="74"/>
    <col width="3" customWidth="1" min="75" max="75"/>
    <col width="3" customWidth="1" min="76" max="76"/>
    <col width="3" customWidth="1" min="77" max="77"/>
    <col width="3" customWidth="1" min="78" max="78"/>
    <col width="3" customWidth="1" min="79" max="79"/>
    <col width="3" customWidth="1" min="80" max="80"/>
    <col width="3" customWidth="1" min="81" max="81"/>
    <col width="3" customWidth="1" min="82" max="82"/>
    <col width="3" customWidth="1" min="83" max="83"/>
    <col width="3" customWidth="1" min="84" max="84"/>
    <col width="3" customWidth="1" min="85" max="85"/>
    <col width="3" customWidth="1" min="86" max="86"/>
    <col width="3" customWidth="1" min="87" max="87"/>
    <col width="3" customWidth="1" min="88" max="88"/>
    <col width="3" customWidth="1" min="89" max="89"/>
    <col width="3" customWidth="1" min="90" max="90"/>
    <col width="3" customWidth="1" min="91" max="91"/>
    <col width="3" customWidth="1" min="92" max="92"/>
    <col width="3" customWidth="1" min="93" max="93"/>
    <col width="3" customWidth="1" min="94" max="94"/>
    <col width="3" customWidth="1" min="95" max="95"/>
  </cols>
  <sheetData>
    <row r="1">
      <c r="A1" s="1" t="inlineStr">
        <is>
          <t>Timeline: milestones and Gantt (likely plan)</t>
        </is>
      </c>
    </row>
    <row r="2">
      <c r="A2" s="2" t="inlineStr">
        <is>
          <t>Estimates are bottom-up from story sizes, part-time, beginner pace. Yellow cells are editable. Bars show the likely plan.</t>
        </is>
      </c>
    </row>
    <row r="3"/>
    <row r="4">
      <c r="A4" s="10" t="inlineStr">
        <is>
          <t>Project start (Monday)</t>
        </is>
      </c>
      <c r="B4" s="11" t="n">
        <v>46300</v>
      </c>
    </row>
    <row r="5"/>
    <row r="6">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row>
    <row r="7" ht="42" customHeight="1">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Stories'!$H$5:$H$53,'User Stories'!$J$5:$J$53,A7,'User Stories'!$F$5:$F$53,"Must")&amp;" - "&amp;SUMIFS('User Stories'!$I$5:$I$53,'User Stories'!$J$5:$J$53,A7,'User Stories'!$F$5:$F$53,"Must")</f>
        <v/>
      </c>
      <c r="N7" s="9" t="inlineStr">
        <is>
          <t>A clean checkout builds in Visual Studio; you pause the program on a breakpoint; CI runs on push.</t>
        </is>
      </c>
    </row>
    <row r="8" ht="42" customHeight="1">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Stories'!$H$5:$H$53,'User Stories'!$J$5:$J$53,A8,'User Stories'!$F$5:$F$53,"Must")&amp;" - "&amp;SUMIFS('User Stories'!$I$5:$I$53,'User Stories'!$J$5:$J$53,A8,'User Stories'!$F$5:$F$53,"Must")</f>
        <v/>
      </c>
      <c r="N8" s="9" t="inlineStr">
        <is>
          <t>Luna opens a window; a demo character walks around a tile map at 60 FPS with crisp pixels at any window size; the build proves Luna contains no Odysseus code.</t>
        </is>
      </c>
    </row>
    <row r="9" ht="42" customHeight="1">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Stories'!$H$5:$H$53,'User Stories'!$J$5:$J$53,A9,'User Stories'!$F$5:$F$53,"Must")&amp;" - "&amp;SUMIFS('User Stories'!$I$5:$I$53,'User Stories'!$J$5:$J$53,A9,'User Stories'!$F$5:$F$53,"Must")</f>
        <v/>
      </c>
      <c r="N9" s="9" t="inlineStr">
        <is>
          <t>Luna Physics passes its math, hit-detection, ballistics and rigid-body tests identically on every build; in the demo the hero throws a spear that flies in an arc with a shadow and hits a target.</t>
        </is>
      </c>
    </row>
    <row r="10" ht="42" customHeight="1">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Stories'!$H$5:$H$53,'User Stories'!$J$5:$J$53,A10,'User Stories'!$F$5:$F$53,"Must")&amp;" - "&amp;SUMIFS('User Stories'!$I$5:$I$53,'User Stories'!$J$5:$J$53,A10,'User Stories'!$F$5:$F$53,"Must")</f>
        <v/>
      </c>
      <c r="N10" s="9" t="inlineStr">
        <is>
          <t>The headless runner simulates a 20-person clan for 100 years without crashing; the printed chronicle is shown to 3 people and at least 2 find a story in it; the determinism test passes.</t>
        </is>
      </c>
    </row>
    <row r="11" ht="42" customHeight="1">
      <c r="A11" s="7" t="inlineStr">
        <is>
          <t>M3</t>
        </is>
      </c>
      <c r="B11" s="9" t="inlineStr">
        <is>
          <t>Living clan on screen</t>
        </is>
      </c>
      <c r="C11" s="9" t="inlineStr">
        <is>
          <t>5-6</t>
        </is>
      </c>
      <c r="D11" s="13" t="n">
        <v>3</v>
      </c>
      <c r="E11" s="13" t="n">
        <v>6</v>
      </c>
      <c r="F11" s="9">
        <f>ROUND((D11+E11)/2,0)</f>
        <v/>
      </c>
      <c r="G11" s="9">
        <f>H10+1</f>
        <v/>
      </c>
      <c r="H11" s="9">
        <f>G11+F11-1</f>
        <v/>
      </c>
      <c r="I11" s="14">
        <f>$B$4+(G11-1)*7</f>
        <v/>
      </c>
      <c r="J11" s="14">
        <f>$B$4+H11*7-1</f>
        <v/>
      </c>
      <c r="K11" s="14">
        <f>$B$4+SUM($D$7:D11)*7-1</f>
        <v/>
      </c>
      <c r="L11" s="14">
        <f>$B$4+SUM($E$7:E11)*7-1</f>
        <v/>
      </c>
      <c r="M11" s="9">
        <f>SUMIFS('User Stories'!$H$5:$H$53,'User Stories'!$J$5:$J$53,A11,'User Stories'!$F$5:$F$53,"Must")&amp;" - "&amp;SUMIFS('User Stories'!$I$5:$I$53,'User Stories'!$J$5:$J$53,A11,'User Stories'!$F$5:$F$53,"Must")</f>
        <v/>
      </c>
      <c r="N11" s="9" t="inlineStr">
        <is>
          <t>The clan from M2 runs inside the game; NPCs are visible, dressed in layered outfits, and act on their needs.</t>
        </is>
      </c>
    </row>
    <row r="12" ht="42" customHeight="1">
      <c r="A12" s="7" t="inlineStr">
        <is>
          <t>M4</t>
        </is>
      </c>
      <c r="B12" s="9" t="inlineStr">
        <is>
          <t>Region, tools and saves</t>
        </is>
      </c>
      <c r="C12" s="9" t="inlineStr">
        <is>
          <t>7-9</t>
        </is>
      </c>
      <c r="D12" s="13" t="n">
        <v>5</v>
      </c>
      <c r="E12" s="13" t="n">
        <v>10</v>
      </c>
      <c r="F12" s="9">
        <f>ROUND((D12+E12)/2,0)</f>
        <v/>
      </c>
      <c r="G12" s="9">
        <f>H11+1</f>
        <v/>
      </c>
      <c r="H12" s="9">
        <f>G12+F12-1</f>
        <v/>
      </c>
      <c r="I12" s="14">
        <f>$B$4+(G12-1)*7</f>
        <v/>
      </c>
      <c r="J12" s="14">
        <f>$B$4+H12*7-1</f>
        <v/>
      </c>
      <c r="K12" s="14">
        <f>$B$4+SUM($D$7:D12)*7-1</f>
        <v/>
      </c>
      <c r="L12" s="14">
        <f>$B$4+SUM($E$7:E12)*7-1</f>
        <v/>
      </c>
      <c r="M12" s="9">
        <f>SUMIFS('User Stories'!$H$5:$H$53,'User Stories'!$J$5:$J$53,A12,'User Stories'!$F$5:$F$53,"Must")&amp;" - "&amp;SUMIFS('User Stories'!$I$5:$I$53,'User Stories'!$J$5:$J$53,A12,'User Stories'!$F$5:$F$53,"Must")</f>
        <v/>
      </c>
      <c r="N12" s="9" t="inlineStr">
        <is>
          <t>A region is generated from a seed with biomes, resources and two rival clans; any NPC can be inspected; the game saves and loads.</t>
        </is>
      </c>
    </row>
    <row r="13" ht="42" customHeight="1">
      <c r="A13" s="7" t="inlineStr">
        <is>
          <t>M5</t>
        </is>
      </c>
      <c r="B13" s="9" t="inlineStr">
        <is>
          <t>Vertical slice feature-complete</t>
        </is>
      </c>
      <c r="C13" s="9" t="inlineStr">
        <is>
          <t>10</t>
        </is>
      </c>
      <c r="D13" s="13" t="n">
        <v>16</v>
      </c>
      <c r="E13" s="13" t="n">
        <v>31</v>
      </c>
      <c r="F13" s="9">
        <f>ROUND((D13+E13)/2,0)</f>
        <v/>
      </c>
      <c r="G13" s="9">
        <f>H12+1</f>
        <v/>
      </c>
      <c r="H13" s="9">
        <f>G13+F13-1</f>
        <v/>
      </c>
      <c r="I13" s="14">
        <f>$B$4+(G13-1)*7</f>
        <v/>
      </c>
      <c r="J13" s="14">
        <f>$B$4+H13*7-1</f>
        <v/>
      </c>
      <c r="K13" s="14">
        <f>$B$4+SUM($D$7:D13)*7-1</f>
        <v/>
      </c>
      <c r="L13" s="14">
        <f>$B$4+SUM($E$7:E13)*7-1</f>
        <v/>
      </c>
      <c r="M13" s="9">
        <f>SUMIFS('User Stories'!$H$5:$H$53,'User Stories'!$J$5:$J$53,A13,'User Stories'!$F$5:$F$53,"Must")&amp;" - "&amp;SUMIFS('User Stories'!$I$5:$I$53,'User Stories'!$J$5:$J$53,A13,'User Stories'!$F$5:$F$53,"Must")</f>
        <v/>
      </c>
      <c r="N13" s="9" t="inlineStr">
        <is>
          <t>A player can start a new game, live the Growing Period, take a profession, pursue Trade or Religion, and win or lose.</t>
        </is>
      </c>
    </row>
    <row r="14">
      <c r="A14" s="7" t="inlineStr">
        <is>
          <t>M6</t>
        </is>
      </c>
      <c r="B14" s="9" t="inlineStr">
        <is>
          <t>Playtest and go/no-go (KILL GATE 2)</t>
        </is>
      </c>
      <c r="C14" s="9" t="inlineStr">
        <is>
          <t>-</t>
        </is>
      </c>
      <c r="D14" s="13" t="n">
        <v>3</v>
      </c>
      <c r="E14" s="13" t="n">
        <v>4</v>
      </c>
      <c r="F14" s="9">
        <f>ROUND((D14+E14)/2,0)</f>
        <v/>
      </c>
      <c r="G14" s="9">
        <f>H13+1</f>
        <v/>
      </c>
      <c r="H14" s="9">
        <f>G14+F14-1</f>
        <v/>
      </c>
      <c r="I14" s="14">
        <f>$B$4+(G14-1)*7</f>
        <v/>
      </c>
      <c r="J14" s="14">
        <f>$B$4+H14*7-1</f>
        <v/>
      </c>
      <c r="K14" s="14">
        <f>$B$4+SUM($D$7:D14)*7-1</f>
        <v/>
      </c>
      <c r="L14" s="14">
        <f>$B$4+SUM($E$7:E14)*7-1</f>
        <v/>
      </c>
      <c r="M14" s="9">
        <f>SUMIFS('User Stories'!$H$5:$H$53,'User Stories'!$J$5:$J$53,A14,'User Stories'!$F$5:$F$53,"Must")&amp;" - "&amp;SUMIFS('User Stories'!$I$5:$I$53,'User Stories'!$J$5:$J$53,A14,'User Stories'!$F$5:$F$53,"Must")</f>
        <v/>
      </c>
      <c r="N14" s="9" t="inlineStr">
        <is>
          <t>8 outside playtesters play; success criteria measured; go/no-go decision recorded.</t>
        </is>
      </c>
    </row>
    <row r="15">
      <c r="A15" s="7" t="inlineStr"/>
      <c r="B15" s="7" t="inlineStr">
        <is>
          <t>MVP total</t>
        </is>
      </c>
      <c r="C15" s="7" t="inlineStr"/>
      <c r="D15" s="7">
        <f>SUM(D7:D14)</f>
        <v/>
      </c>
      <c r="E15" s="7">
        <f>SUM(E7:E14)</f>
        <v/>
      </c>
      <c r="F15" s="7">
        <f>SUM(F7:F14)</f>
        <v/>
      </c>
      <c r="G15" s="7" t="inlineStr"/>
      <c r="H15" s="7">
        <f>H14</f>
        <v/>
      </c>
      <c r="I15" s="15">
        <f>I7</f>
        <v/>
      </c>
      <c r="J15" s="15">
        <f>J14</f>
        <v/>
      </c>
      <c r="K15" s="15">
        <f>K14</f>
        <v/>
      </c>
      <c r="L15" s="15">
        <f>L14</f>
        <v/>
      </c>
      <c r="M15" s="7" t="inlineStr"/>
      <c r="N15" s="7" t="inlineStr">
        <is>
          <t>Months (likely) = weeks / 4.33</t>
        </is>
      </c>
    </row>
    <row r="16">
      <c r="A16" s="7" t="inlineStr"/>
      <c r="B16" s="7" t="inlineStr">
        <is>
          <t>In months</t>
        </is>
      </c>
      <c r="C16" s="7" t="inlineStr"/>
      <c r="D16" s="7">
        <f>ROUND(D15/4.33,1)</f>
        <v/>
      </c>
      <c r="E16" s="7">
        <f>ROUND(E15/4.33,1)</f>
        <v/>
      </c>
      <c r="F16" s="7">
        <f>ROUND(F15/4.33,1)</f>
        <v/>
      </c>
      <c r="G16" s="7" t="inlineStr"/>
      <c r="H16" s="7" t="inlineStr"/>
      <c r="I16" s="7" t="inlineStr"/>
      <c r="J16" s="7" t="inlineStr"/>
      <c r="K16" s="7" t="inlineStr"/>
      <c r="L16" s="7" t="inlineStr"/>
      <c r="M16" s="7" t="inlineStr"/>
      <c r="N16" s="7" t="inlineStr"/>
    </row>
    <row r="17" ht="28" customHeight="1"/>
    <row r="18" ht="28" customHeight="1">
      <c r="B18" s="4" t="inlineStr">
        <is>
          <t>Why the estimate grew: the learning path (requirements, section 8.3) estimated 9-13 months top-down. The bottom-up sum of the MVP stories is higher; this sheet uses the bottom-up figure.</t>
        </is>
      </c>
    </row>
    <row r="19" ht="28" customHeight="1">
      <c r="B19" s="4" t="inlineStr">
        <is>
          <t>Buffer: the 'Should' stories are the cut list if time runs short. Cutting all of them saves about 5-11 weeks.</t>
        </is>
      </c>
    </row>
    <row r="20">
      <c r="B20" s="4" t="inlineStr">
        <is>
          <t>Kill gates: M2 (is the console chronicle interesting?) and M6 (do playtesters stay?). Critical path: M0 &gt; M1 &gt; M1b &gt; M2 &gt; M3 &gt; M4 &gt; M5 &gt; M6; the engine and its physics come first (owner decisions 2026-09-29/30).</t>
        </is>
      </c>
    </row>
  </sheetData>
  <mergeCells count="3">
    <mergeCell ref="B19:N19"/>
    <mergeCell ref="B17:N17"/>
    <mergeCell ref="B18:N18"/>
  </mergeCells>
  <conditionalFormatting sqref="P7:CQ14">
    <cfRule type="expression" priority="1" dxfId="2">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70" customWidth="1" min="2" max="2"/>
    <col width="18" customWidth="1" min="3" max="3"/>
    <col width="14" customWidth="1" min="4" max="4"/>
    <col width="26" customWidth="1" min="5" max="5"/>
    <col width="16" customWidth="1" min="6" max="6"/>
    <col width="11" customWidth="1" min="7" max="7"/>
  </cols>
  <sheetData>
    <row r="1">
      <c r="A1" s="1" t="inlineStr">
        <is>
          <t>Dependencies</t>
        </is>
      </c>
    </row>
    <row r="2">
      <c r="A2" s="2" t="inlineStr">
        <is>
          <t>Design decisions you owe, external needs, and the technical chain. A story is Ready only when its dependencies are Decided.</t>
        </is>
      </c>
    </row>
    <row r="3"/>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Open</t>
        </is>
      </c>
    </row>
    <row r="10">
      <c r="A10" s="7" t="inlineStr">
        <is>
          <t>D-06</t>
        </is>
      </c>
      <c r="B10" s="9" t="inlineStr">
        <is>
          <t>Minimum PC spec (OPEN-19)</t>
        </is>
      </c>
      <c r="C10" s="9" t="inlineStr">
        <is>
          <t>Design decision</t>
        </is>
      </c>
      <c r="D10" s="9" t="inlineStr">
        <is>
          <t>M4</t>
        </is>
      </c>
      <c r="E10" s="9" t="inlineStr">
        <is>
          <t>US-082</t>
        </is>
      </c>
      <c r="F10" s="9" t="inlineStr">
        <is>
          <t>Owner</t>
        </is>
      </c>
      <c r="G10" s="16" t="inlineStr">
        <is>
          <t>Open</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Open</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Open</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Proposed</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Proposed</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Open</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t>
        </is>
      </c>
    </row>
    <row r="19">
      <c r="A19" s="7" t="inlineStr">
        <is>
          <t>D-15</t>
        </is>
      </c>
      <c r="B19" s="9" t="inlineStr">
        <is>
          <t>Technical chain: M0 &gt; M1 &gt; M1b &gt; M2 &gt; M3 &gt; M4 &gt; M5 &gt; M6 (each milestone needs the previous one)</t>
        </is>
      </c>
      <c r="C19" s="9" t="inlineStr">
        <is>
          <t>Technical</t>
        </is>
      </c>
      <c r="D19" s="9" t="inlineStr">
        <is>
          <t>All</t>
        </is>
      </c>
      <c r="E19" s="9" t="inlineStr">
        <is>
          <t>All</t>
        </is>
      </c>
      <c r="F19" s="9" t="inlineStr">
        <is>
          <t>Developer</t>
        </is>
      </c>
      <c r="G19" s="16" t="inlineStr">
        <is>
          <t>Planned</t>
        </is>
      </c>
    </row>
  </sheetData>
  <conditionalFormatting sqref="G5:G19">
    <cfRule type="cellIs" priority="1" operator="equal" dxfId="3">
      <formula>"Open"</formula>
    </cfRule>
    <cfRule type="cellIs" priority="2" operator="equal" dxfId="0">
      <formula>"Proposed"</formula>
    </cfRule>
    <cfRule type="cellIs" priority="3" operator="equal" dxfId="1">
      <formula>"Decided"</formula>
    </cfRule>
    <cfRule type="cellIs" priority="4" operator="equal" dxfId="4">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6" customWidth="1" min="1" max="1"/>
    <col width="30" customWidth="1" min="2" max="2"/>
    <col width="60" customWidth="1" min="3" max="3"/>
    <col width="11" customWidth="1" min="4" max="4"/>
    <col width="9" customWidth="1" min="5" max="5"/>
    <col width="8" customWidth="1" min="6" max="6"/>
    <col width="11" customWidth="1" min="7" max="7"/>
    <col width="11" customWidth="1" min="8" max="8"/>
    <col width="8" customWidth="1" min="9" max="9"/>
    <col width="10" customWidth="1" min="10" max="10"/>
  </cols>
  <sheetData>
    <row r="1">
      <c r="A1" s="1" t="inlineStr">
        <is>
          <t>Epics</t>
        </is>
      </c>
    </row>
    <row r="2">
      <c r="A2" s="2" t="inlineStr">
        <is>
          <t>Counts, effort and progress are formulas over the User Stories sheet.</t>
        </is>
      </c>
    </row>
    <row r="3"/>
    <row r="4">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Stories'!$B$5:$B$53,A5)</f>
        <v/>
      </c>
      <c r="F5" s="9">
        <f>COUNTIFS('User Stories'!$B$5:$B$53,A5,'User Stories'!$F$5:$F$53,"Must")</f>
        <v/>
      </c>
      <c r="G5" s="9">
        <f>SUMIF('User Stories'!$B$5:$B$53,A5,'User Stories'!$H$5:$H$53)</f>
        <v/>
      </c>
      <c r="H5" s="9">
        <f>SUMIF('User Stories'!$B$5:$B$53,A5,'User Stories'!$I$5:$I$53)</f>
        <v/>
      </c>
      <c r="I5" s="9">
        <f>COUNTIFS('User Stories'!$B$5:$B$53,A5,'User Stories'!$O$5:$O$53,"Done")</f>
        <v/>
      </c>
      <c r="J5" s="17">
        <f>IFERROR(I5/E5,0)</f>
        <v/>
      </c>
    </row>
    <row r="6">
      <c r="A6" s="7" t="inlineStr">
        <is>
          <t>E1</t>
        </is>
      </c>
      <c r="B6" s="9" t="inlineStr">
        <is>
          <t>Headless clan simulation</t>
        </is>
      </c>
      <c r="C6" s="9" t="inlineStr">
        <is>
          <t>A clan lives, remembers and produces a readable chronicle, with no graphics.</t>
        </is>
      </c>
      <c r="D6" s="9" t="inlineStr">
        <is>
          <t>M2</t>
        </is>
      </c>
      <c r="E6" s="9">
        <f>COUNTIF('User Stories'!$B$5:$B$53,A6)</f>
        <v/>
      </c>
      <c r="F6" s="9">
        <f>COUNTIFS('User Stories'!$B$5:$B$53,A6,'User Stories'!$F$5:$F$53,"Must")</f>
        <v/>
      </c>
      <c r="G6" s="9">
        <f>SUMIF('User Stories'!$B$5:$B$53,A6,'User Stories'!$H$5:$H$53)</f>
        <v/>
      </c>
      <c r="H6" s="9">
        <f>SUMIF('User Stories'!$B$5:$B$53,A6,'User Stories'!$I$5:$I$53)</f>
        <v/>
      </c>
      <c r="I6" s="9">
        <f>COUNTIFS('User Stories'!$B$5:$B$53,A6,'User Stories'!$O$5:$O$53,"Done")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Stories'!$B$5:$B$53,A7)</f>
        <v/>
      </c>
      <c r="F7" s="9">
        <f>COUNTIFS('User Stories'!$B$5:$B$53,A7,'User Stories'!$F$5:$F$53,"Must")</f>
        <v/>
      </c>
      <c r="G7" s="9">
        <f>SUMIF('User Stories'!$B$5:$B$53,A7,'User Stories'!$H$5:$H$53)</f>
        <v/>
      </c>
      <c r="H7" s="9">
        <f>SUMIF('User Stories'!$B$5:$B$53,A7,'User Stories'!$I$5:$I$53)</f>
        <v/>
      </c>
      <c r="I7" s="9">
        <f>COUNTIFS('User Stories'!$B$5:$B$53,A7,'User Stories'!$O$5:$O$53,"Done")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Stories'!$B$5:$B$53,A8)</f>
        <v/>
      </c>
      <c r="F8" s="9">
        <f>COUNTIFS('User Stories'!$B$5:$B$53,A8,'User Stories'!$F$5:$F$53,"Must")</f>
        <v/>
      </c>
      <c r="G8" s="9">
        <f>SUMIF('User Stories'!$B$5:$B$53,A8,'User Stories'!$H$5:$H$53)</f>
        <v/>
      </c>
      <c r="H8" s="9">
        <f>SUMIF('User Stories'!$B$5:$B$53,A8,'User Stories'!$I$5:$I$53)</f>
        <v/>
      </c>
      <c r="I8" s="9">
        <f>COUNTIFS('User Stories'!$B$5:$B$53,A8,'User Stories'!$O$5:$O$53,"Done")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Stories'!$B$5:$B$53,A9)</f>
        <v/>
      </c>
      <c r="F9" s="9">
        <f>COUNTIFS('User Stories'!$B$5:$B$53,A9,'User Stories'!$F$5:$F$53,"Must")</f>
        <v/>
      </c>
      <c r="G9" s="9">
        <f>SUMIF('User Stories'!$B$5:$B$53,A9,'User Stories'!$H$5:$H$53)</f>
        <v/>
      </c>
      <c r="H9" s="9">
        <f>SUMIF('User Stories'!$B$5:$B$53,A9,'User Stories'!$I$5:$I$53)</f>
        <v/>
      </c>
      <c r="I9" s="9">
        <f>COUNTIFS('User Stories'!$B$5:$B$53,A9,'User Stories'!$O$5:$O$53,"Done")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Stories'!$B$5:$B$53,A10)</f>
        <v/>
      </c>
      <c r="F10" s="9">
        <f>COUNTIFS('User Stories'!$B$5:$B$53,A10,'User Stories'!$F$5:$F$53,"Must")</f>
        <v/>
      </c>
      <c r="G10" s="9">
        <f>SUMIF('User Stories'!$B$5:$B$53,A10,'User Stories'!$H$5:$H$53)</f>
        <v/>
      </c>
      <c r="H10" s="9">
        <f>SUMIF('User Stories'!$B$5:$B$53,A10,'User Stories'!$I$5:$I$53)</f>
        <v/>
      </c>
      <c r="I10" s="9">
        <f>COUNTIFS('User Stories'!$B$5:$B$53,A10,'User Stories'!$O$5:$O$53,"Done")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Stories'!$B$5:$B$53,A11)</f>
        <v/>
      </c>
      <c r="F11" s="9">
        <f>COUNTIFS('User Stories'!$B$5:$B$53,A11,'User Stories'!$F$5:$F$53,"Must")</f>
        <v/>
      </c>
      <c r="G11" s="9">
        <f>SUMIF('User Stories'!$B$5:$B$53,A11,'User Stories'!$H$5:$H$53)</f>
        <v/>
      </c>
      <c r="H11" s="9">
        <f>SUMIF('User Stories'!$B$5:$B$53,A11,'User Stories'!$I$5:$I$53)</f>
        <v/>
      </c>
      <c r="I11" s="9">
        <f>COUNTIFS('User Stories'!$B$5:$B$53,A11,'User Stories'!$O$5:$O$53,"Done")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Stories'!$B$5:$B$53,A12)</f>
        <v/>
      </c>
      <c r="F12" s="9">
        <f>COUNTIFS('User Stories'!$B$5:$B$53,A12,'User Stories'!$F$5:$F$53,"Must")</f>
        <v/>
      </c>
      <c r="G12" s="9">
        <f>SUMIF('User Stories'!$B$5:$B$53,A12,'User Stories'!$H$5:$H$53)</f>
        <v/>
      </c>
      <c r="H12" s="9">
        <f>SUMIF('User Stories'!$B$5:$B$53,A12,'User Stories'!$I$5:$I$53)</f>
        <v/>
      </c>
      <c r="I12" s="9">
        <f>COUNTIFS('User Stories'!$B$5:$B$53,A12,'User Stories'!$O$5:$O$53,"Done")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Stories'!$B$5:$B$53,A13)</f>
        <v/>
      </c>
      <c r="F13" s="9">
        <f>COUNTIFS('User Stories'!$B$5:$B$53,A13,'User Stories'!$F$5:$F$53,"Must")</f>
        <v/>
      </c>
      <c r="G13" s="9">
        <f>SUMIF('User Stories'!$B$5:$B$53,A13,'User Stories'!$H$5:$H$53)</f>
        <v/>
      </c>
      <c r="H13" s="9">
        <f>SUMIF('User Stories'!$B$5:$B$53,A13,'User Stories'!$I$5:$I$53)</f>
        <v/>
      </c>
      <c r="I13" s="9">
        <f>COUNTIFS('User Stories'!$B$5:$B$53,A13,'User Stories'!$O$5:$O$53,"Done")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Stories'!$B$5:$B$53,A14)</f>
        <v/>
      </c>
      <c r="F14" s="9">
        <f>COUNTIFS('User Stories'!$B$5:$B$53,A14,'User Stories'!$F$5:$F$53,"Must")</f>
        <v/>
      </c>
      <c r="G14" s="9">
        <f>SUMIF('User Stories'!$B$5:$B$53,A14,'User Stories'!$H$5:$H$53)</f>
        <v/>
      </c>
      <c r="H14" s="9">
        <f>SUMIF('User Stories'!$B$5:$B$53,A14,'User Stories'!$I$5:$I$53)</f>
        <v/>
      </c>
      <c r="I14" s="9">
        <f>COUNTIFS('User Stories'!$B$5:$B$53,A14,'User Stories'!$O$5:$O$53,"Done")</f>
        <v/>
      </c>
      <c r="J14" s="17">
        <f>IFERROR(I14/E14,0)</f>
        <v/>
      </c>
    </row>
    <row r="15">
      <c r="A15" s="7" t="inlineStr">
        <is>
          <t>E10</t>
        </is>
      </c>
      <c r="B15" s="9" t="inlineStr">
        <is>
          <t>Luna physics</t>
        </is>
      </c>
      <c r="C15" s="9" t="inlineStr">
        <is>
          <t>Luna simulates hits, throws and bodies with deterministic 3D physics.</t>
        </is>
      </c>
      <c r="D15" s="9" t="inlineStr">
        <is>
          <t>M1b</t>
        </is>
      </c>
      <c r="E15" s="9">
        <f>COUNTIF('User Stories'!$B$5:$B$53,A15)</f>
        <v/>
      </c>
      <c r="F15" s="9">
        <f>COUNTIFS('User Stories'!$B$5:$B$53,A15,'User Stories'!$F$5:$F$53,"Must")</f>
        <v/>
      </c>
      <c r="G15" s="9">
        <f>SUMIF('User Stories'!$B$5:$B$53,A15,'User Stories'!$H$5:$H$53)</f>
        <v/>
      </c>
      <c r="H15" s="9">
        <f>SUMIF('User Stories'!$B$5:$B$53,A15,'User Stories'!$I$5:$I$53)</f>
        <v/>
      </c>
      <c r="I15" s="9">
        <f>COUNTIFS('User Stories'!$B$5:$B$53,A15,'User Stories'!$O$5:$O$53,"Done")</f>
        <v/>
      </c>
      <c r="J15" s="17">
        <f>IFERROR(I15/E15,0)</f>
        <v/>
      </c>
    </row>
    <row r="16">
      <c r="A16" s="7" t="inlineStr"/>
      <c r="B16" s="7" t="inlineStr">
        <is>
          <t>Total</t>
        </is>
      </c>
      <c r="C16" s="7" t="inlineStr"/>
      <c r="D16" s="7" t="inlineStr"/>
      <c r="E16" s="7">
        <f>SUM(E5:E15)</f>
        <v/>
      </c>
      <c r="F16" s="7">
        <f>SUM(F5:F15)</f>
        <v/>
      </c>
      <c r="G16" s="7">
        <f>SUM(G5:G15)</f>
        <v/>
      </c>
      <c r="H16" s="7">
        <f>SUM(H5:H15)</f>
        <v/>
      </c>
      <c r="I16" s="7">
        <f>SUM(I5:I15)</f>
        <v/>
      </c>
      <c r="J16" s="18">
        <f>IFERROR(I16/E16,0)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3"/>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6" customWidth="1" min="2" max="2"/>
    <col width="28" customWidth="1" min="3" max="3"/>
    <col width="44" customWidth="1" min="4" max="4"/>
    <col width="70" customWidth="1" min="5" max="5"/>
    <col width="9" customWidth="1" min="6" max="6"/>
    <col width="6" customWidth="1" min="7" max="7"/>
    <col width="8" customWidth="1" min="8" max="8"/>
    <col width="8" customWidth="1" min="9" max="9"/>
    <col width="10" customWidth="1" min="10" max="10"/>
    <col width="18" customWidth="1" min="11" max="11"/>
    <col width="22" customWidth="1" min="12" max="12"/>
    <col width="28" customWidth="1" min="13" max="13"/>
    <col width="22" customWidth="1" min="14" max="14"/>
    <col width="12" customWidth="1" min="15" max="15"/>
  </cols>
  <sheetData>
    <row r="1">
      <c r="A1" s="1" t="inlineStr">
        <is>
          <t>User stories with acceptance criteria</t>
        </is>
      </c>
    </row>
    <row r="2">
      <c r="A2" s="2" t="inlineStr">
        <is>
          <t>Yellow Status column is yours. Weeks come from the size table on Read Me. Gherkin: Given (context), When (action), Then (observable result).</t>
        </is>
      </c>
    </row>
    <row r="3"/>
    <row r="4">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3" customHeight="1">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inlineStr"/>
      <c r="O5" s="16" t="inlineStr">
        <is>
          <t>Done</t>
        </is>
      </c>
    </row>
    <row r="6" ht="124.2" customHeight="1">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inlineStr"/>
      <c r="O6" s="16" t="inlineStr">
        <is>
          <t>Done</t>
        </is>
      </c>
    </row>
    <row r="7" ht="124.2" customHeight="1">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inlineStr"/>
      <c r="O7" s="16" t="inlineStr">
        <is>
          <t>To do</t>
        </is>
      </c>
    </row>
    <row r="8" ht="186.3" customHeight="1">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inlineStr"/>
      <c r="O8" s="16" t="inlineStr">
        <is>
          <t>To do</t>
        </is>
      </c>
    </row>
    <row r="9" ht="186.3" customHeight="1">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inlineStr"/>
      <c r="O9" s="16" t="inlineStr">
        <is>
          <t>To do</t>
        </is>
      </c>
    </row>
    <row r="10" ht="186.3" customHeight="1">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To do</t>
        </is>
      </c>
    </row>
    <row r="11" ht="186.3" customHeight="1">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inlineStr"/>
      <c r="O11" s="16" t="inlineStr">
        <is>
          <t>To do</t>
        </is>
      </c>
    </row>
    <row r="12" ht="186.3" customHeight="1">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inlineStr"/>
      <c r="O12" s="16" t="inlineStr">
        <is>
          <t>To do</t>
        </is>
      </c>
    </row>
    <row r="13" ht="124.2" customHeight="1">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inlineStr"/>
      <c r="O13" s="16" t="inlineStr">
        <is>
          <t>To do</t>
        </is>
      </c>
    </row>
    <row r="14" ht="124.2" customHeight="1">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inlineStr"/>
      <c r="O14" s="16" t="inlineStr">
        <is>
          <t>To do</t>
        </is>
      </c>
    </row>
    <row r="15" ht="186.3" customHeight="1">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inlineStr"/>
      <c r="O15" s="16" t="inlineStr">
        <is>
          <t>To do</t>
        </is>
      </c>
    </row>
    <row r="16" ht="186.3" customHeight="1">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inlineStr"/>
      <c r="O16" s="16" t="inlineStr">
        <is>
          <t>To do</t>
        </is>
      </c>
    </row>
    <row r="17" ht="186.3" customHeight="1">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inlineStr"/>
      <c r="O17" s="16" t="inlineStr">
        <is>
          <t>To do</t>
        </is>
      </c>
    </row>
    <row r="18" ht="124.2" customHeight="1">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inlineStr"/>
      <c r="O18" s="16" t="inlineStr">
        <is>
          <t>To do</t>
        </is>
      </c>
    </row>
    <row r="19" ht="124.2" customHeight="1">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inlineStr"/>
      <c r="O19" s="16" t="inlineStr">
        <is>
          <t>To do</t>
        </is>
      </c>
    </row>
    <row r="20" ht="186.3" customHeight="1">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inlineStr"/>
      <c r="O20" s="16" t="inlineStr">
        <is>
          <t>To do</t>
        </is>
      </c>
    </row>
    <row r="21" ht="186.3" customHeight="1">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inlineStr"/>
      <c r="O21" s="16" t="inlineStr">
        <is>
          <t>To do</t>
        </is>
      </c>
    </row>
    <row r="22" ht="124.2" customHeight="1">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inlineStr"/>
      <c r="O22" s="16" t="inlineStr">
        <is>
          <t>To do</t>
        </is>
      </c>
    </row>
    <row r="23" ht="186.3" customHeight="1">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inlineStr"/>
      <c r="O23" s="16" t="inlineStr">
        <is>
          <t>To do</t>
        </is>
      </c>
    </row>
    <row r="24" ht="186.3" customHeight="1">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inlineStr"/>
      <c r="O24" s="16" t="inlineStr">
        <is>
          <t>To do</t>
        </is>
      </c>
    </row>
    <row r="25" ht="124.2" customHeight="1">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inlineStr"/>
      <c r="O25" s="16" t="inlineStr">
        <is>
          <t>To do</t>
        </is>
      </c>
    </row>
    <row r="26" ht="186.3" customHeight="1">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inlineStr"/>
      <c r="O26" s="16" t="inlineStr">
        <is>
          <t>To do</t>
        </is>
      </c>
    </row>
    <row r="27" ht="124.2" customHeight="1">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inlineStr"/>
      <c r="O27" s="16" t="inlineStr">
        <is>
          <t>To do</t>
        </is>
      </c>
    </row>
    <row r="28" ht="186.3" customHeight="1">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inlineStr"/>
      <c r="O28" s="16" t="inlineStr">
        <is>
          <t>To do</t>
        </is>
      </c>
    </row>
    <row r="29" ht="124.2" customHeight="1">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inlineStr"/>
      <c r="O29" s="16" t="inlineStr">
        <is>
          <t>To do</t>
        </is>
      </c>
    </row>
    <row r="30" ht="186.3" customHeight="1">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inlineStr"/>
      <c r="O30" s="16" t="inlineStr">
        <is>
          <t>To do</t>
        </is>
      </c>
    </row>
    <row r="31" ht="186.3" customHeight="1">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inlineStr"/>
      <c r="O31" s="16" t="inlineStr">
        <is>
          <t>To do</t>
        </is>
      </c>
    </row>
    <row r="32" ht="124.2" customHeight="1">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inlineStr"/>
      <c r="O32" s="16" t="inlineStr">
        <is>
          <t>To do</t>
        </is>
      </c>
    </row>
    <row r="33" ht="186.3" customHeight="1">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inlineStr"/>
      <c r="O33" s="16" t="inlineStr">
        <is>
          <t>To do</t>
        </is>
      </c>
    </row>
    <row r="34" ht="124.2" customHeight="1">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inlineStr"/>
      <c r="O34" s="16" t="inlineStr">
        <is>
          <t>To do</t>
        </is>
      </c>
    </row>
    <row r="35" ht="186.3" customHeight="1">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inlineStr"/>
      <c r="O35" s="16" t="inlineStr">
        <is>
          <t>To do</t>
        </is>
      </c>
    </row>
    <row r="36" ht="186.3" customHeight="1">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inlineStr"/>
      <c r="O36" s="16" t="inlineStr">
        <is>
          <t>To do</t>
        </is>
      </c>
    </row>
    <row r="37" ht="186.3" customHeight="1">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inlineStr"/>
      <c r="O37" s="16" t="inlineStr">
        <is>
          <t>To do</t>
        </is>
      </c>
    </row>
    <row r="38" ht="124.2" customHeight="1">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inlineStr"/>
      <c r="O38" s="16" t="inlineStr">
        <is>
          <t>To do</t>
        </is>
      </c>
    </row>
    <row r="39" ht="186.3" customHeight="1">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inlineStr"/>
      <c r="O39" s="16" t="inlineStr">
        <is>
          <t>To do</t>
        </is>
      </c>
    </row>
    <row r="40" ht="186.3" customHeight="1">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inlineStr"/>
      <c r="O40" s="16" t="inlineStr">
        <is>
          <t>To do</t>
        </is>
      </c>
    </row>
    <row r="41" ht="124.2" customHeight="1">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inlineStr"/>
      <c r="O41" s="16" t="inlineStr">
        <is>
          <t>To do</t>
        </is>
      </c>
    </row>
    <row r="42" ht="186.3" customHeight="1">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inlineStr"/>
      <c r="O42" s="16" t="inlineStr">
        <is>
          <t>To do</t>
        </is>
      </c>
    </row>
    <row r="43" ht="124.2" customHeight="1">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inlineStr"/>
      <c r="O43" s="16" t="inlineStr">
        <is>
          <t>To do</t>
        </is>
      </c>
    </row>
    <row r="44" ht="124.2" customHeight="1">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inlineStr"/>
      <c r="O44" s="16" t="inlineStr">
        <is>
          <t>To do</t>
        </is>
      </c>
    </row>
    <row r="45" ht="186.3" customHeight="1">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inlineStr"/>
      <c r="O45" s="16" t="inlineStr">
        <is>
          <t>To do</t>
        </is>
      </c>
    </row>
    <row r="46" ht="186.3" customHeight="1">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inlineStr"/>
      <c r="O46" s="16" t="inlineStr">
        <is>
          <t>To do</t>
        </is>
      </c>
    </row>
    <row r="47" ht="124.2" customHeight="1">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inlineStr"/>
      <c r="O47" s="16" t="inlineStr">
        <is>
          <t>To do</t>
        </is>
      </c>
    </row>
    <row r="48" ht="124.2" customHeight="1">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inlineStr"/>
      <c r="O48" s="16" t="inlineStr">
        <is>
          <t>To do</t>
        </is>
      </c>
    </row>
    <row r="49" ht="124.2" customHeight="1">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To do</t>
        </is>
      </c>
    </row>
    <row r="50" ht="124.2" customHeight="1">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To do</t>
        </is>
      </c>
    </row>
    <row r="51" ht="124.2" customHeight="1">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To do</t>
        </is>
      </c>
    </row>
    <row r="52" ht="124.2" customHeight="1">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To do</t>
        </is>
      </c>
    </row>
    <row r="53" ht="124.2" customHeight="1">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To do</t>
        </is>
      </c>
    </row>
  </sheetData>
  <autoFilter ref="A4:O48"/>
  <conditionalFormatting sqref="F5:F48">
    <cfRule type="cellIs" priority="1" operator="equal" dxfId="3">
      <formula>"Must"</formula>
    </cfRule>
    <cfRule type="cellIs" priority="2" operator="equal" dxfId="0">
      <formula>"Should"</formula>
    </cfRule>
    <cfRule type="cellIs" priority="3" operator="equal" dxfId="1">
      <formula>"Could"</formula>
    </cfRule>
  </conditionalFormatting>
  <conditionalFormatting sqref="O5:O48">
    <cfRule type="cellIs" priority="4" operator="equal" dxfId="1">
      <formula>"Done"</formula>
    </cfRule>
    <cfRule type="cellIs" priority="5" operator="equal" dxfId="5">
      <formula>"In progress"</formula>
    </cfRule>
    <cfRule type="cellIs" priority="6" operator="equal" dxfId="3">
      <formula>"Blocked"</formula>
    </cfRule>
  </conditionalFormatting>
  <dataValidations count="1">
    <dataValidation sqref="O5 O6 O7 O8 O9 O10 O11 O12 O13 O14 O15 O16 O17 O18 O19 O20 O21 O22 O23 O24 O25 O26 O27 O28 O29 O30 O31 O32 O33 O34 O35 O36 O37 O38 O39 O40 O41 O42 O43 O44 O45 O46 O47 O48 O49 O50 O51 O52 O53"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min="1" max="1"/>
    <col width="70" customWidth="1" min="2" max="2"/>
    <col width="28" customWidth="1" min="3" max="3"/>
  </cols>
  <sheetData>
    <row r="1">
      <c r="A1" s="1" t="inlineStr">
        <is>
          <t>Out of the MVP (and when it returns)</t>
        </is>
      </c>
    </row>
    <row r="2">
      <c r="A2" s="2" t="inlineStr">
        <is>
          <t>Saying no, with reasons. Nothing here is lost: each item returns on the roadmap.</t>
        </is>
      </c>
    </row>
    <row r="3"/>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Phase 2 space</t>
        </is>
      </c>
      <c r="B6" s="9" t="inlineStr">
        <is>
          <t>Each is a content project; the MVP must first prove Age 1 is fun.</t>
        </is>
      </c>
      <c r="C6" s="9" t="inlineStr">
        <is>
          <t>Post-MVP roadmap</t>
        </is>
      </c>
    </row>
    <row r="7">
      <c r="A7" s="7" t="inlineStr">
        <is>
          <t>Whole planet, prehistory world-gen, LOD tiers Remote and Planet</t>
        </is>
      </c>
      <c r="B7" s="9" t="inlineStr">
        <is>
          <t>A region is enough to test the loop; planet scale is a performance project of its own.</t>
        </is>
      </c>
      <c r="C7" s="9" t="inlineStr">
        <is>
          <t>Next</t>
        </is>
      </c>
    </row>
    <row r="8">
      <c r="A8" s="7" t="inlineStr">
        <is>
          <t>Military, Politics, Technology, Ideology pillars</t>
        </is>
      </c>
      <c r="B8" s="9" t="inlineStr">
        <is>
          <t>Two pillars are enough to test 'many paths to dominance'; combat is the most expensive system.</t>
        </is>
      </c>
      <c r="C8" s="9" t="inlineStr">
        <is>
          <t>Next (Politics), Later (others)</t>
        </is>
      </c>
    </row>
    <row r="9">
      <c r="A9" s="7" t="inlineStr">
        <is>
          <t>Dynasty, Reincarnation, Rotating Avatar modes</t>
        </is>
      </c>
      <c r="B9" s="9" t="inlineStr">
        <is>
          <t>One mode tests the loop; the Succession system is built so others are configuration later.</t>
        </is>
      </c>
      <c r="C9" s="9" t="inlineStr">
        <is>
          <t>Next (Dynasty)</t>
        </is>
      </c>
    </row>
    <row r="1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c r="A13" s="7" t="inlineStr">
        <is>
          <t>Steam integration, achievements, cloud saves</t>
        </is>
      </c>
      <c r="B13" s="9" t="inlineStr">
        <is>
          <t>Distribution is not the MVP question (OPEN-18).</t>
        </is>
      </c>
      <c r="C13" s="9" t="inlineStr">
        <is>
          <t>Launch</t>
        </is>
      </c>
    </row>
    <row r="14">
      <c r="A14" s="7" t="inlineStr">
        <is>
          <t>Advanced physics and chemistry (explosions, vehicles, orbits, heat, fire spread, reactions)</t>
        </is>
      </c>
      <c r="B14" s="9" t="inlineStr">
        <is>
          <t>Age 1 needs hit detection, ballistics, basic bodies and material properties only; the rest belongs to later Ages.</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Definition of Ready and Definition of Done</t>
        </is>
      </c>
    </row>
    <row r="2">
      <c r="A2" s="2" t="inlineStr">
        <is>
          <t>Apply to every story.</t>
        </is>
      </c>
    </row>
    <row r="3"/>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9"/>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2026-09-29T22:54:59Z</dcterms:modified>
</cp:coreProperties>
</file>