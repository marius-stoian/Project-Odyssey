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VP Definition" sheetId="2" state="visible" r:id="rId2"/>
    <sheet xmlns:r="http://schemas.openxmlformats.org/officeDocument/2006/relationships" name="Timeline" sheetId="3" state="visible" r:id="rId3"/>
    <sheet xmlns:r="http://schemas.openxmlformats.org/officeDocument/2006/relationships" name="Dependencies" sheetId="4" state="visible" r:id="rId4"/>
    <sheet xmlns:r="http://schemas.openxmlformats.org/officeDocument/2006/relationships" name="Epics" sheetId="5" state="visible" r:id="rId5"/>
    <sheet xmlns:r="http://schemas.openxmlformats.org/officeDocument/2006/relationships" name="User Stories" sheetId="6" state="visible" r:id="rId6"/>
    <sheet xmlns:r="http://schemas.openxmlformats.org/officeDocument/2006/relationships" name="Cut List" sheetId="7" state="visible" r:id="rId7"/>
    <sheet xmlns:r="http://schemas.openxmlformats.org/officeDocument/2006/relationships" name="Ready &amp; Done" sheetId="8" state="visible" r:id="rId8"/>
  </sheets>
  <definedNames>
    <definedName name="_xlnm._FilterDatabase" localSheetId="5" hidden="1">'User Stories'!$A$4:$O$48</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002F4858"/>
      <sz val="16"/>
    </font>
    <font>
      <name val="Arial"/>
      <i val="1"/>
      <color rgb="00666666"/>
      <sz val="10"/>
    </font>
    <font>
      <name val="Arial"/>
      <b val="1"/>
      <sz val="10"/>
    </font>
    <font>
      <name val="Arial"/>
      <b val="1"/>
      <color rgb="002F4858"/>
      <sz val="12"/>
    </font>
    <font>
      <name val="Arial"/>
      <sz val="10"/>
    </font>
    <font>
      <name val="Arial"/>
      <b val="1"/>
      <color rgb="00FFFFFF"/>
      <sz val="10"/>
    </font>
    <font>
      <name val="Arial"/>
      <color rgb="000000FF"/>
      <sz val="10"/>
    </font>
    <font>
      <name val="Arial"/>
      <b val="1"/>
      <color rgb="00FFFFFF"/>
      <sz val="7"/>
    </font>
  </fonts>
  <fills count="4">
    <fill>
      <patternFill/>
    </fill>
    <fill>
      <patternFill patternType="gray125"/>
    </fill>
    <fill>
      <patternFill patternType="solid">
        <fgColor rgb="002F4858"/>
      </patternFill>
    </fill>
    <fill>
      <patternFill patternType="solid">
        <fgColor rgb="00FFF2CC"/>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2" borderId="1" applyAlignment="1" pivotButton="0" quotePrefix="0" xfId="0">
      <alignmen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xf numFmtId="164" fontId="7" fillId="3" borderId="0" pivotButton="0" quotePrefix="0" xfId="0"/>
    <xf numFmtId="0" fontId="8" fillId="2" borderId="0" applyAlignment="1" pivotButton="0" quotePrefix="0" xfId="0">
      <alignment horizontal="center"/>
    </xf>
    <xf numFmtId="0" fontId="7" fillId="3" borderId="1" applyAlignment="1" pivotButton="0" quotePrefix="0" xfId="0">
      <alignment vertical="top" wrapText="1"/>
    </xf>
    <xf numFmtId="164" fontId="5" fillId="0" borderId="1" applyAlignment="1" pivotButton="0" quotePrefix="0" xfId="0">
      <alignment vertical="top" wrapText="1"/>
    </xf>
    <xf numFmtId="164" fontId="3" fillId="0" borderId="1" applyAlignment="1" pivotButton="0" quotePrefix="0" xfId="0">
      <alignment vertical="top" wrapText="1"/>
    </xf>
    <xf numFmtId="0" fontId="5" fillId="3"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cellXfs>
  <cellStyles count="1">
    <cellStyle name="Normal" xfId="0" builtinId="0" hidden="0"/>
  </cellStyles>
  <dxfs count="6">
    <dxf>
      <fill>
        <patternFill patternType="solid">
          <fgColor rgb="00FFE699"/>
        </patternFill>
      </fill>
    </dxf>
    <dxf>
      <fill>
        <patternFill patternType="solid">
          <fgColor rgb="00C6E0B4"/>
        </patternFill>
      </fill>
    </dxf>
    <dxf>
      <fill>
        <patternFill patternType="solid">
          <fgColor rgb="007F77DD"/>
        </patternFill>
      </fill>
    </dxf>
    <dxf>
      <fill>
        <patternFill patternType="solid">
          <fgColor rgb="00F8CBAD"/>
        </patternFill>
      </fill>
    </dxf>
    <dxf>
      <fill>
        <patternFill patternType="solid">
          <fgColor rgb="00DDEBF7"/>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10" customWidth="1" min="1" max="1"/>
    <col width="12" customWidth="1" min="2" max="2"/>
    <col width="12" customWidth="1" min="3" max="3"/>
    <col width="50" customWidth="1" min="4" max="4"/>
  </cols>
  <sheetData>
    <row r="1">
      <c r="A1" s="1" t="inlineStr">
        <is>
          <t>Project Odyssey - MVP Backlog</t>
        </is>
      </c>
    </row>
    <row r="2">
      <c r="A2" s="2" t="inlineStr">
        <is>
          <t>Working tracker for developers. The source of truth is Project Odyssey.docx, chapter 12; this workbook is generated from the same data.</t>
        </is>
      </c>
    </row>
    <row r="4">
      <c r="A4" s="3" t="inlineStr">
        <is>
          <t>How to use</t>
        </is>
      </c>
    </row>
    <row r="5">
      <c r="A5" s="4" t="inlineStr">
        <is>
          <t>1. Work milestone by milestone (Timeline sheet). Never start a story whose dependencies are not Decided (Dependencies sheet).</t>
        </is>
      </c>
    </row>
    <row r="6">
      <c r="A6" s="4" t="inlineStr">
        <is>
          <t>2. Update only the yellow cells: Status on the User Stories sheet, the project start date and week estimates on the Timeline sheet.</t>
        </is>
      </c>
    </row>
    <row r="7">
      <c r="A7" s="4" t="inlineStr">
        <is>
          <t>3. Status values: To do, In progress, Blocked, Done. A story is Done only when it meets the Definition of Done.</t>
        </is>
      </c>
    </row>
    <row r="8">
      <c r="A8" s="4" t="inlineStr">
        <is>
          <t>4. Epic progress and the timeline recalculate automatically.</t>
        </is>
      </c>
    </row>
    <row r="9">
      <c r="A9" s="4" t="inlineStr">
        <is>
          <t>5. Example: set US-001 to 'In progress' when you start installing tools, and to 'Done' when a clean checkout builds and debugs.</t>
        </is>
      </c>
    </row>
    <row r="11">
      <c r="A11" s="5" t="inlineStr">
        <is>
          <t>Story sizes (used by formulas)</t>
        </is>
      </c>
    </row>
    <row r="12">
      <c r="A12" s="6" t="inlineStr">
        <is>
          <t>Size</t>
        </is>
      </c>
      <c r="B12" s="6" t="inlineStr">
        <is>
          <t>Weeks (low)</t>
        </is>
      </c>
      <c r="C12" s="6" t="inlineStr">
        <is>
          <t>Weeks (high)</t>
        </is>
      </c>
      <c r="D12" s="6" t="inlineStr">
        <is>
          <t>Meaning (part-time, beginner pace, learning included)</t>
        </is>
      </c>
    </row>
    <row r="13">
      <c r="A13" s="7" t="inlineStr">
        <is>
          <t>S</t>
        </is>
      </c>
      <c r="B13" s="8" t="n">
        <v>0.5</v>
      </c>
      <c r="C13" s="8" t="n">
        <v>1</v>
      </c>
      <c r="D13" s="9" t="inlineStr">
        <is>
          <t>Up to about a week</t>
        </is>
      </c>
    </row>
    <row r="14">
      <c r="A14" s="7" t="inlineStr">
        <is>
          <t>M</t>
        </is>
      </c>
      <c r="B14" s="8" t="n">
        <v>1</v>
      </c>
      <c r="C14" s="8" t="n">
        <v>2</v>
      </c>
      <c r="D14" s="9" t="inlineStr">
        <is>
          <t>One to two weeks</t>
        </is>
      </c>
    </row>
    <row r="15">
      <c r="A15" s="7" t="inlineStr">
        <is>
          <t>L</t>
        </is>
      </c>
      <c r="B15" s="8" t="n">
        <v>2</v>
      </c>
      <c r="C15" s="8" t="n">
        <v>4</v>
      </c>
      <c r="D15" s="9" t="inlineStr">
        <is>
          <t>Two to four weeks; split if it grows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16" customWidth="1" min="2" max="2"/>
    <col width="80" customWidth="1" min="3" max="3"/>
    <col width="24" customWidth="1" min="4" max="4"/>
    <col width="30" customWidth="1" min="5" max="5"/>
  </cols>
  <sheetData>
    <row r="1">
      <c r="A1" s="1" t="inlineStr">
        <is>
          <t>MVP definition</t>
        </is>
      </c>
    </row>
    <row r="2">
      <c r="A2" s="2" t="inlineStr">
        <is>
          <t>Product Owner + Solution Architect, 2026-09-29. Status 'Proposed' = awaiting your decision.</t>
        </is>
      </c>
    </row>
    <row r="4">
      <c r="A4" s="5" t="inlineStr">
        <is>
          <t>Hypothesis</t>
        </is>
      </c>
    </row>
    <row r="5" ht="75" customHeight="1">
      <c r="A5" s="4" t="inlineStr">
        <is>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is>
      </c>
    </row>
    <row r="7">
      <c r="A7" s="5" t="inlineStr">
        <is>
          <t>Scope (in)</t>
        </is>
      </c>
    </row>
    <row r="8">
      <c r="A8" s="6" t="inlineStr">
        <is>
          <t>ID</t>
        </is>
      </c>
      <c r="B8" s="6" t="inlineStr">
        <is>
          <t>Area</t>
        </is>
      </c>
      <c r="C8" s="6" t="inlineStr">
        <is>
          <t>MVP scope</t>
        </is>
      </c>
      <c r="D8" s="6" t="inlineStr">
        <is>
          <t>Status</t>
        </is>
      </c>
      <c r="E8" s="6" t="inlineStr">
        <is>
          <t>Traces to</t>
        </is>
      </c>
    </row>
    <row r="9">
      <c r="A9" s="7" t="inlineStr">
        <is>
          <t>MVP-01</t>
        </is>
      </c>
      <c r="B9" s="9" t="inlineStr">
        <is>
          <t>Platform</t>
        </is>
      </c>
      <c r="C9" s="9" t="inlineStr">
        <is>
          <t>Windows x64 only. Android and iOS are out of the MVP (architecture keeps them possible).</t>
        </is>
      </c>
      <c r="D9" s="9" t="inlineStr">
        <is>
          <t>Proposed</t>
        </is>
      </c>
      <c r="E9" s="9" t="inlineStr">
        <is>
          <t>PLT-01, PLT-02</t>
        </is>
      </c>
    </row>
    <row r="10">
      <c r="A10" s="7" t="inlineStr">
        <is>
          <t>MVP-02</t>
        </is>
      </c>
      <c r="B10" s="9" t="inlineStr">
        <is>
          <t>Age</t>
        </is>
      </c>
      <c r="C10" s="9" t="inlineStr">
        <is>
          <t>Age 1 only: Late Paleolithic, Age of Embers (c. 40,000 BCE).</t>
        </is>
      </c>
      <c r="D10" s="9" t="inlineStr">
        <is>
          <t>Proposed</t>
        </is>
      </c>
      <c r="E10" s="9" t="inlineStr">
        <is>
          <t>ENV-01, ENV-09</t>
        </is>
      </c>
    </row>
    <row r="11">
      <c r="A11" s="7" t="inlineStr">
        <is>
          <t>MVP-03</t>
        </is>
      </c>
      <c r="B11" s="9" t="inlineStr">
        <is>
          <t>World</t>
        </is>
      </c>
      <c r="C11" s="9" t="inlineStr">
        <is>
          <t>One procedurally generated region (256 x 256 tiles, 64 x 64-tile chunks), not a whole planet. Bounded edges; planet projection deferred.</t>
        </is>
      </c>
      <c r="D11" s="9" t="inlineStr">
        <is>
          <t>Proposed</t>
        </is>
      </c>
      <c r="E11" s="9" t="inlineStr">
        <is>
          <t>ENV-03, ARC-06, OPEN-02</t>
        </is>
      </c>
    </row>
    <row r="12">
      <c r="A12" s="7" t="inlineStr">
        <is>
          <t>MVP-04</t>
        </is>
      </c>
      <c r="B12" s="9" t="inlineStr">
        <is>
          <t>Game Mode</t>
        </is>
      </c>
      <c r="C12" s="9" t="inlineStr">
        <is>
          <t>One Hero per Age only (smallest scope, recommended first mode).</t>
        </is>
      </c>
      <c r="D12" s="9" t="inlineStr">
        <is>
          <t>Proposed</t>
        </is>
      </c>
      <c r="E12" s="9" t="inlineStr">
        <is>
          <t>CHR-02</t>
        </is>
      </c>
    </row>
    <row r="13">
      <c r="A13" s="7" t="inlineStr">
        <is>
          <t>MVP-05</t>
        </is>
      </c>
      <c r="B13" s="9" t="inlineStr">
        <is>
          <t>Modifiers</t>
        </is>
      </c>
      <c r="C13" s="9" t="inlineStr">
        <is>
          <t>Only the baseline modifier Random per World, plus Growing Period presets (Off / Compressed / Full) and the Comfort dial (Cozy / Balanced / Harsh).</t>
        </is>
      </c>
      <c r="D13" s="9" t="inlineStr">
        <is>
          <t>Proposed</t>
        </is>
      </c>
      <c r="E13" s="9" t="inlineStr">
        <is>
          <t>CHR-03, CHR-06, ENV-07</t>
        </is>
      </c>
    </row>
    <row r="14">
      <c r="A14" s="7" t="inlineStr">
        <is>
          <t>MVP-06</t>
        </is>
      </c>
      <c r="B14" s="9" t="inlineStr">
        <is>
          <t>Character</t>
        </is>
      </c>
      <c r="C14" s="9" t="inlineStr">
        <is>
          <t>Full Growing Period (ages 12-26) with Focus slots, Crossroads events, imprint curve and the Mantle moment; aging and death.</t>
        </is>
      </c>
      <c r="D14" s="9" t="inlineStr">
        <is>
          <t>Proposed</t>
        </is>
      </c>
      <c r="E14" s="9" t="inlineStr">
        <is>
          <t>CHR-05, CHR-06</t>
        </is>
      </c>
    </row>
    <row r="15">
      <c r="A15" s="7" t="inlineStr">
        <is>
          <t>MVP-07</t>
        </is>
      </c>
      <c r="B15" s="9" t="inlineStr">
        <is>
          <t>Professions</t>
        </is>
      </c>
      <c r="C15" s="9" t="inlineStr">
        <is>
          <t>Five Age 1 professions, data-driven: Hunter, Gatherer, Flint-knapper, Fire-keeper, Shaman-healer.</t>
        </is>
      </c>
      <c r="D15" s="9" t="inlineStr">
        <is>
          <t>Proposed</t>
        </is>
      </c>
      <c r="E15" s="9" t="inlineStr">
        <is>
          <t>CHR-07, Flag 5</t>
        </is>
      </c>
    </row>
    <row r="16">
      <c r="A16" s="7" t="inlineStr">
        <is>
          <t>MVP-08</t>
        </is>
      </c>
      <c r="B16" s="9" t="inlineStr">
        <is>
          <t>Pillars</t>
        </is>
      </c>
      <c r="C16" s="9" t="inlineStr">
        <is>
          <t>Two pillars playable at region scale: Trade (barter and debts) and Religion (sacred fire and followers). The other four are shown as locked 'later Ages'.</t>
        </is>
      </c>
      <c r="D16" s="9" t="inlineStr">
        <is>
          <t>Proposed</t>
        </is>
      </c>
      <c r="E16" s="9" t="inlineStr">
        <is>
          <t>PIL-02, PIL-04, ENV-10</t>
        </is>
      </c>
    </row>
    <row r="17">
      <c r="A17" s="7" t="inlineStr">
        <is>
          <t>MVP-09</t>
        </is>
      </c>
      <c r="B17" s="9" t="inlineStr">
        <is>
          <t>Victory</t>
        </is>
      </c>
      <c r="C17" s="9" t="inlineStr">
        <is>
          <t>Win: your clan leads the region (Dominion 60% in Trade or Religion, or 50% combined). Lose: your hero dies before the Mantle moment, or your clan disbands.</t>
        </is>
      </c>
      <c r="D17" s="9" t="inlineStr">
        <is>
          <t>Proposed</t>
        </is>
      </c>
      <c r="E17" s="9" t="inlineStr">
        <is>
          <t>ENV-05, ENV-10</t>
        </is>
      </c>
    </row>
    <row r="18">
      <c r="A18" s="7" t="inlineStr">
        <is>
          <t>MVP-10</t>
        </is>
      </c>
      <c r="B18" s="9" t="inlineStr">
        <is>
          <t>Simulation</t>
        </is>
      </c>
      <c r="C18" s="9" t="inlineStr">
        <is>
          <t>One player clan (about 20 people) and two rival AI clans; LOD tiers Active and Nearby only.</t>
        </is>
      </c>
      <c r="D18" s="9" t="inlineStr">
        <is>
          <t>Proposed</t>
        </is>
      </c>
      <c r="E18" s="9" t="inlineStr">
        <is>
          <t>ARC-05, ADR-013</t>
        </is>
      </c>
    </row>
    <row r="19">
      <c r="A19" s="7" t="inlineStr">
        <is>
          <t>MVP-11</t>
        </is>
      </c>
      <c r="B19" s="9" t="inlineStr">
        <is>
          <t>Presentation</t>
        </is>
      </c>
      <c r="C19" s="9" t="inlineStr">
        <is>
          <t>Layered 32 x 48 sprites with 3 outfits per body; programmer or placeholder art allowed; minimal sound effects.</t>
        </is>
      </c>
      <c r="D19" s="9" t="inlineStr">
        <is>
          <t>Proposed</t>
        </is>
      </c>
      <c r="E19" s="9" t="inlineStr">
        <is>
          <t>ENV-11, ENV-12, OPEN-11, OPEN-12</t>
        </is>
      </c>
    </row>
    <row r="20">
      <c r="A20" s="7" t="inlineStr">
        <is>
          <t>MVP-12</t>
        </is>
      </c>
      <c r="B20" s="9" t="inlineStr">
        <is>
          <t>Time model</t>
        </is>
      </c>
      <c r="C20" s="9" t="inlineStr">
        <is>
          <t>Pausable real time with speed control (pause, 1x, 2x, 4x). Decided by the owner (D-01, 2026-09-30).</t>
        </is>
      </c>
      <c r="D20" s="9" t="inlineStr">
        <is>
          <t>Decided</t>
        </is>
      </c>
      <c r="E20" s="9" t="inlineStr">
        <is>
          <t>ADR-006, OPEN-04</t>
        </is>
      </c>
    </row>
    <row r="21">
      <c r="A21" s="7" t="inlineStr">
        <is>
          <t>MVP-13</t>
        </is>
      </c>
      <c r="B21" s="9" t="inlineStr">
        <is>
          <t>Physics</t>
        </is>
      </c>
      <c r="C21" s="9" t="inlineStr">
        <is>
          <t>Luna Physics core: deterministic 3D fixed-point math, hit detection, ballistics, basic rigid bodies and material properties, proven by a spear throw in the demo (M1b). Advanced physics and chemistry return with later Ages.</t>
        </is>
      </c>
      <c r="D21" s="9" t="inlineStr">
        <is>
          <t>Decided</t>
        </is>
      </c>
      <c r="E21" s="9" t="inlineStr">
        <is>
          <t>PHY-01..PHY-06, ARC-10, ADR-017</t>
        </is>
      </c>
    </row>
    <row r="23">
      <c r="A23" s="5" t="inlineStr">
        <is>
          <t>Success and kill criteria (decided before building)</t>
        </is>
      </c>
    </row>
    <row r="24">
      <c r="A24" s="6" t="inlineStr">
        <is>
          <t>Metric</t>
        </is>
      </c>
      <c r="B24" s="6" t="inlineStr">
        <is>
          <t>Target</t>
        </is>
      </c>
      <c r="C24" s="6" t="inlineStr">
        <is>
          <t>How measured</t>
        </is>
      </c>
      <c r="D24" s="6" t="inlineStr">
        <is>
          <t>Gate</t>
        </is>
      </c>
    </row>
    <row r="25">
      <c r="A25" s="7" t="inlineStr">
        <is>
          <t>Voluntary play time</t>
        </is>
      </c>
      <c r="B25" s="9" t="inlineStr">
        <is>
          <t>5 of 8 playtesters play 30+ minutes without being asked to continue</t>
        </is>
      </c>
      <c r="C25" s="9" t="inlineStr">
        <is>
          <t>Observation + local session log (US-092)</t>
        </is>
      </c>
      <c r="D25" s="9" t="inlineStr">
        <is>
          <t>M6</t>
        </is>
      </c>
    </row>
    <row r="26">
      <c r="A26" s="7" t="inlineStr">
        <is>
          <t>Emergent story</t>
        </is>
      </c>
      <c r="B26" s="9" t="inlineStr">
        <is>
          <t>3 of 8 can retell a story that came from the simulation, not from a script</t>
        </is>
      </c>
      <c r="C26" s="9" t="inlineStr">
        <is>
          <t>Post-play interview</t>
        </is>
      </c>
      <c r="D26" s="9" t="inlineStr">
        <is>
          <t>M6</t>
        </is>
      </c>
    </row>
    <row r="27">
      <c r="A27" s="7" t="inlineStr">
        <is>
          <t>Chronicle interest (early)</t>
        </is>
      </c>
      <c r="B27" s="9" t="inlineStr">
        <is>
          <t>2 of 3 readers find a story in the console chronicle</t>
        </is>
      </c>
      <c r="C27" s="9" t="inlineStr">
        <is>
          <t>Show printed chronicle (M2: 3 readers, failed 2026-09-30; M2b retry: the owner reads and judges)</t>
        </is>
      </c>
      <c r="D27" s="9" t="inlineStr">
        <is>
          <t>M2, retried at M2b</t>
        </is>
      </c>
    </row>
    <row r="28">
      <c r="A28" s="7" t="inlineStr">
        <is>
          <t>Frame rate</t>
        </is>
      </c>
      <c r="B28" s="9" t="inlineStr">
        <is>
          <t>60 FPS with 500 simulated agents in the region on the minimum PC (OPEN-19)</t>
        </is>
      </c>
      <c r="C28" s="9" t="inlineStr">
        <is>
          <t>FPS overlay (US-082)</t>
        </is>
      </c>
      <c r="D28" s="9" t="inlineStr">
        <is>
          <t>M5</t>
        </is>
      </c>
    </row>
    <row r="29">
      <c r="A29" s="7" t="inlineStr">
        <is>
          <t>Determinism</t>
        </is>
      </c>
      <c r="B29" s="9" t="inlineStr">
        <is>
          <t>Same seed + inputs give the same world hash after 10,000 ticks</t>
        </is>
      </c>
      <c r="C29" s="9" t="inlineStr">
        <is>
          <t>Automated test in CI</t>
        </is>
      </c>
      <c r="D29" s="9" t="inlineStr">
        <is>
          <t>M2 onwards</t>
        </is>
      </c>
    </row>
    <row r="30">
      <c r="A30" s="7" t="inlineStr">
        <is>
          <t>Stability</t>
        </is>
      </c>
      <c r="B30" s="9" t="inlineStr">
        <is>
          <t>No crash in a 2-hour play session or a 100-year soak test</t>
        </is>
      </c>
      <c r="C30" s="9" t="inlineStr">
        <is>
          <t>Soak test + crash log</t>
        </is>
      </c>
      <c r="D30" s="9" t="inlineStr">
        <is>
          <t>M5, M6</t>
        </is>
      </c>
    </row>
    <row r="31">
      <c r="A31" s="7" t="inlineStr">
        <is>
          <t>Kill / pivot rule</t>
        </is>
      </c>
      <c r="B31" s="9" t="inlineStr">
        <is>
          <t>If M2 or M6 fails: stop adding content; redesign the simulation or the loop first</t>
        </is>
      </c>
      <c r="C31" s="9" t="inlineStr">
        <is>
          <t>Owner decision, recorded</t>
        </is>
      </c>
      <c r="D31" s="9" t="inlineStr">
        <is>
          <t>M2, M6</t>
        </is>
      </c>
    </row>
  </sheetData>
  <mergeCells count="1">
    <mergeCell ref="A5:E5"/>
  </mergeCells>
  <conditionalFormatting sqref="D9:D20">
    <cfRule type="cellIs" priority="1" operator="equal" dxfId="0">
      <formula>"Proposed"</formula>
    </cfRule>
    <cfRule type="cellIs" priority="2" operator="equal" dxfId="1">
      <formula>"Decided"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Q21"/>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30" customWidth="1" min="2" max="2"/>
    <col width="9" customWidth="1" min="3" max="3"/>
    <col width="11" customWidth="1" min="4" max="4"/>
    <col width="11" customWidth="1" min="5" max="5"/>
    <col width="9" customWidth="1" min="6" max="6"/>
    <col width="8" customWidth="1" min="7" max="7"/>
    <col width="9" customWidth="1" min="8" max="8"/>
    <col width="12" customWidth="1" min="9" max="9"/>
    <col width="12" customWidth="1" min="10" max="10"/>
    <col width="12" customWidth="1" min="11" max="11"/>
    <col width="12" customWidth="1" min="12" max="12"/>
    <col width="13" customWidth="1" min="13" max="13"/>
    <col width="60" customWidth="1" min="14" max="14"/>
    <col width="3" customWidth="1" min="16" max="16"/>
    <col width="3" customWidth="1" min="17" max="17"/>
    <col width="3" customWidth="1" min="18" max="18"/>
    <col width="3" customWidth="1" min="19" max="19"/>
    <col width="3" customWidth="1" min="20" max="20"/>
    <col width="3" customWidth="1" min="21" max="21"/>
    <col width="3" customWidth="1" min="22" max="22"/>
    <col width="3" customWidth="1" min="23" max="23"/>
    <col width="3" customWidth="1" min="24" max="24"/>
    <col width="3" customWidth="1" min="25" max="25"/>
    <col width="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3" customWidth="1" min="38" max="38"/>
    <col width="3" customWidth="1" min="39" max="39"/>
    <col width="3" customWidth="1" min="40" max="40"/>
    <col width="3" customWidth="1" min="41" max="41"/>
    <col width="3" customWidth="1" min="42" max="42"/>
    <col width="3" customWidth="1" min="43" max="43"/>
    <col width="3" customWidth="1" min="44" max="44"/>
    <col width="3" customWidth="1" min="45" max="45"/>
    <col width="3" customWidth="1" min="46" max="46"/>
    <col width="3" customWidth="1" min="47" max="47"/>
    <col width="3" customWidth="1" min="48" max="48"/>
    <col width="3" customWidth="1" min="49" max="49"/>
    <col width="3" customWidth="1" min="50" max="50"/>
    <col width="3" customWidth="1" min="51" max="51"/>
    <col width="3" customWidth="1" min="52" max="52"/>
    <col width="3" customWidth="1" min="53" max="53"/>
    <col width="3" customWidth="1" min="54" max="54"/>
    <col width="3" customWidth="1" min="55" max="55"/>
    <col width="3" customWidth="1" min="56" max="56"/>
    <col width="3" customWidth="1" min="57" max="57"/>
    <col width="3" customWidth="1" min="58" max="58"/>
    <col width="3" customWidth="1" min="59" max="59"/>
    <col width="3" customWidth="1" min="60" max="60"/>
    <col width="3" customWidth="1" min="61" max="61"/>
    <col width="3" customWidth="1" min="62" max="62"/>
    <col width="3" customWidth="1" min="63" max="63"/>
    <col width="3" customWidth="1" min="64" max="64"/>
    <col width="3" customWidth="1" min="65" max="65"/>
    <col width="3" customWidth="1" min="66" max="66"/>
    <col width="3" customWidth="1" min="67" max="67"/>
    <col width="3" customWidth="1" min="68" max="68"/>
    <col width="3" customWidth="1" min="69" max="69"/>
    <col width="3" customWidth="1" min="70" max="70"/>
    <col width="3" customWidth="1" min="71" max="71"/>
    <col width="3" customWidth="1" min="72" max="72"/>
    <col width="3" customWidth="1" min="73" max="73"/>
    <col width="3" customWidth="1" min="74" max="74"/>
    <col width="3" customWidth="1" min="75" max="75"/>
    <col width="3" customWidth="1" min="76" max="76"/>
    <col width="3" customWidth="1" min="77" max="77"/>
    <col width="3" customWidth="1" min="78" max="78"/>
    <col width="3" customWidth="1" min="79" max="79"/>
    <col width="3" customWidth="1" min="80" max="80"/>
    <col width="3" customWidth="1" min="81" max="81"/>
    <col width="3" customWidth="1" min="82" max="82"/>
    <col width="3" customWidth="1" min="83" max="83"/>
    <col width="3" customWidth="1" min="84" max="84"/>
    <col width="3" customWidth="1" min="85" max="85"/>
    <col width="3" customWidth="1" min="86" max="86"/>
    <col width="3" customWidth="1" min="87" max="87"/>
    <col width="3" customWidth="1" min="88" max="88"/>
    <col width="3" customWidth="1" min="89" max="89"/>
    <col width="3" customWidth="1" min="90" max="90"/>
    <col width="3" customWidth="1" min="91" max="91"/>
    <col width="3" customWidth="1" min="92" max="92"/>
    <col width="3" customWidth="1" min="93" max="93"/>
    <col width="3" customWidth="1" min="94" max="94"/>
    <col width="3" customWidth="1" min="95" max="95"/>
  </cols>
  <sheetData>
    <row r="1">
      <c r="A1" s="1" t="inlineStr">
        <is>
          <t>Timeline: milestones and Gantt (likely plan)</t>
        </is>
      </c>
    </row>
    <row r="2">
      <c r="A2" s="2" t="inlineStr">
        <is>
          <t>Estimates are bottom-up from story sizes, part-time, beginner pace. Yellow cells are editable. Bars show the likely plan.</t>
        </is>
      </c>
    </row>
    <row r="4">
      <c r="A4" s="10" t="inlineStr">
        <is>
          <t>Project start (Monday)</t>
        </is>
      </c>
      <c r="B4" s="11" t="n">
        <v>46300</v>
      </c>
    </row>
    <row r="6">
      <c r="A6" s="6" t="inlineStr">
        <is>
          <t>ID</t>
        </is>
      </c>
      <c r="B6" s="6" t="inlineStr">
        <is>
          <t>Milestone</t>
        </is>
      </c>
      <c r="C6" s="6" t="inlineStr">
        <is>
          <t>Learning stages</t>
        </is>
      </c>
      <c r="D6" s="6" t="inlineStr">
        <is>
          <t>Weeks optimistic</t>
        </is>
      </c>
      <c r="E6" s="6" t="inlineStr">
        <is>
          <t>Weeks pessimistic</t>
        </is>
      </c>
      <c r="F6" s="6" t="inlineStr">
        <is>
          <t>Weeks likely</t>
        </is>
      </c>
      <c r="G6" s="6" t="inlineStr">
        <is>
          <t>Start week</t>
        </is>
      </c>
      <c r="H6" s="6" t="inlineStr">
        <is>
          <t>End week (likely)</t>
        </is>
      </c>
      <c r="I6" s="6" t="inlineStr">
        <is>
          <t>Start date</t>
        </is>
      </c>
      <c r="J6" s="6" t="inlineStr">
        <is>
          <t>End date (likely)</t>
        </is>
      </c>
      <c r="K6" s="6" t="inlineStr">
        <is>
          <t>End date (optimistic)</t>
        </is>
      </c>
      <c r="L6" s="6" t="inlineStr">
        <is>
          <t>End date (pessimistic)</t>
        </is>
      </c>
      <c r="M6" s="6" t="inlineStr">
        <is>
          <t>Must story weeks (low-high)</t>
        </is>
      </c>
      <c r="N6" s="6" t="inlineStr">
        <is>
          <t>Exit criteria (demonstrable)</t>
        </is>
      </c>
      <c r="P6" s="12" t="n">
        <v>1</v>
      </c>
      <c r="Q6" s="12" t="n">
        <v>2</v>
      </c>
      <c r="R6" s="12" t="n">
        <v>3</v>
      </c>
      <c r="S6" s="12" t="n">
        <v>4</v>
      </c>
      <c r="T6" s="12" t="n">
        <v>5</v>
      </c>
      <c r="U6" s="12" t="n">
        <v>6</v>
      </c>
      <c r="V6" s="12" t="n">
        <v>7</v>
      </c>
      <c r="W6" s="12" t="n">
        <v>8</v>
      </c>
      <c r="X6" s="12" t="n">
        <v>9</v>
      </c>
      <c r="Y6" s="12" t="n">
        <v>10</v>
      </c>
      <c r="Z6" s="12" t="n">
        <v>11</v>
      </c>
      <c r="AA6" s="12" t="n">
        <v>12</v>
      </c>
      <c r="AB6" s="12" t="n">
        <v>13</v>
      </c>
      <c r="AC6" s="12" t="n">
        <v>14</v>
      </c>
      <c r="AD6" s="12" t="n">
        <v>15</v>
      </c>
      <c r="AE6" s="12" t="n">
        <v>16</v>
      </c>
      <c r="AF6" s="12" t="n">
        <v>17</v>
      </c>
      <c r="AG6" s="12" t="n">
        <v>18</v>
      </c>
      <c r="AH6" s="12" t="n">
        <v>19</v>
      </c>
      <c r="AI6" s="12" t="n">
        <v>20</v>
      </c>
      <c r="AJ6" s="12" t="n">
        <v>21</v>
      </c>
      <c r="AK6" s="12" t="n">
        <v>22</v>
      </c>
      <c r="AL6" s="12" t="n">
        <v>23</v>
      </c>
      <c r="AM6" s="12" t="n">
        <v>24</v>
      </c>
      <c r="AN6" s="12" t="n">
        <v>25</v>
      </c>
      <c r="AO6" s="12" t="n">
        <v>26</v>
      </c>
      <c r="AP6" s="12" t="n">
        <v>27</v>
      </c>
      <c r="AQ6" s="12" t="n">
        <v>28</v>
      </c>
      <c r="AR6" s="12" t="n">
        <v>29</v>
      </c>
      <c r="AS6" s="12" t="n">
        <v>30</v>
      </c>
      <c r="AT6" s="12" t="n">
        <v>31</v>
      </c>
      <c r="AU6" s="12" t="n">
        <v>32</v>
      </c>
      <c r="AV6" s="12" t="n">
        <v>33</v>
      </c>
      <c r="AW6" s="12" t="n">
        <v>34</v>
      </c>
      <c r="AX6" s="12" t="n">
        <v>35</v>
      </c>
      <c r="AY6" s="12" t="n">
        <v>36</v>
      </c>
      <c r="AZ6" s="12" t="n">
        <v>37</v>
      </c>
      <c r="BA6" s="12" t="n">
        <v>38</v>
      </c>
      <c r="BB6" s="12" t="n">
        <v>39</v>
      </c>
      <c r="BC6" s="12" t="n">
        <v>40</v>
      </c>
      <c r="BD6" s="12" t="n">
        <v>41</v>
      </c>
      <c r="BE6" s="12" t="n">
        <v>42</v>
      </c>
      <c r="BF6" s="12" t="n">
        <v>43</v>
      </c>
      <c r="BG6" s="12" t="n">
        <v>44</v>
      </c>
      <c r="BH6" s="12" t="n">
        <v>45</v>
      </c>
      <c r="BI6" s="12" t="n">
        <v>46</v>
      </c>
      <c r="BJ6" s="12" t="n">
        <v>47</v>
      </c>
      <c r="BK6" s="12" t="n">
        <v>48</v>
      </c>
      <c r="BL6" s="12" t="n">
        <v>49</v>
      </c>
      <c r="BM6" s="12" t="n">
        <v>50</v>
      </c>
      <c r="BN6" s="12" t="n">
        <v>51</v>
      </c>
      <c r="BO6" s="12" t="n">
        <v>52</v>
      </c>
      <c r="BP6" s="12" t="n">
        <v>53</v>
      </c>
      <c r="BQ6" s="12" t="n">
        <v>54</v>
      </c>
      <c r="BR6" s="12" t="n">
        <v>55</v>
      </c>
      <c r="BS6" s="12" t="n">
        <v>56</v>
      </c>
      <c r="BT6" s="12" t="n">
        <v>57</v>
      </c>
      <c r="BU6" s="12" t="n">
        <v>58</v>
      </c>
      <c r="BV6" s="12" t="n">
        <v>59</v>
      </c>
      <c r="BW6" s="12" t="n">
        <v>60</v>
      </c>
      <c r="BX6" s="12" t="n">
        <v>61</v>
      </c>
      <c r="BY6" s="12" t="n">
        <v>62</v>
      </c>
      <c r="BZ6" s="12" t="n">
        <v>63</v>
      </c>
      <c r="CA6" s="12" t="n">
        <v>64</v>
      </c>
      <c r="CB6" s="12" t="n">
        <v>65</v>
      </c>
      <c r="CC6" s="12" t="n">
        <v>66</v>
      </c>
      <c r="CD6" s="12" t="n">
        <v>67</v>
      </c>
      <c r="CE6" s="12" t="n">
        <v>68</v>
      </c>
      <c r="CF6" s="12" t="n">
        <v>69</v>
      </c>
      <c r="CG6" s="12" t="n">
        <v>70</v>
      </c>
      <c r="CH6" s="12" t="n">
        <v>71</v>
      </c>
      <c r="CI6" s="12" t="n">
        <v>72</v>
      </c>
      <c r="CJ6" s="12" t="n">
        <v>73</v>
      </c>
      <c r="CK6" s="12" t="n">
        <v>74</v>
      </c>
      <c r="CL6" s="12" t="n">
        <v>75</v>
      </c>
      <c r="CM6" s="12" t="n">
        <v>76</v>
      </c>
      <c r="CN6" s="12" t="n">
        <v>77</v>
      </c>
      <c r="CO6" s="12" t="n">
        <v>78</v>
      </c>
      <c r="CP6" s="12" t="n">
        <v>79</v>
      </c>
      <c r="CQ6" s="12" t="n">
        <v>80</v>
      </c>
    </row>
    <row r="7" ht="42" customHeight="1">
      <c r="A7" s="7" t="inlineStr">
        <is>
          <t>M0</t>
        </is>
      </c>
      <c r="B7" s="9" t="inlineStr">
        <is>
          <t>Tooling ready</t>
        </is>
      </c>
      <c r="C7" s="9" t="inlineStr">
        <is>
          <t>0</t>
        </is>
      </c>
      <c r="D7" s="13" t="n">
        <v>2</v>
      </c>
      <c r="E7" s="13" t="n">
        <v>4</v>
      </c>
      <c r="F7" s="9">
        <f>ROUND((D7+E7)/2,0)</f>
        <v/>
      </c>
      <c r="G7" s="9" t="inlineStr">
        <is>
          <t>1</t>
        </is>
      </c>
      <c r="H7" s="9">
        <f>G7+F7-1</f>
        <v/>
      </c>
      <c r="I7" s="14">
        <f>$B$4+(G7-1)*7</f>
        <v/>
      </c>
      <c r="J7" s="14">
        <f>$B$4+H7*7-1</f>
        <v/>
      </c>
      <c r="K7" s="14">
        <f>$B$4+SUM($D$7:D7)*7-1</f>
        <v/>
      </c>
      <c r="L7" s="14">
        <f>$B$4+SUM($E$7:E7)*7-1</f>
        <v/>
      </c>
      <c r="M7" s="9">
        <f>SUMIFS('User Stories'!$H$5:$H$59,'User Stories'!$J$5:$J$59,A7,'User Stories'!$F$5:$F$59,"Must")&amp;" - "&amp;SUMIFS('User Stories'!$I$5:$I$59,'User Stories'!$J$5:$J$59,A7,'User Stories'!$F$5:$F$59,"Must")</f>
        <v/>
      </c>
      <c r="N7" s="9" t="inlineStr">
        <is>
          <t>A clean checkout builds in Visual Studio; you pause the program on a breakpoint; CI runs on push.</t>
        </is>
      </c>
    </row>
    <row r="8" ht="42" customHeight="1">
      <c r="A8" s="7" t="inlineStr">
        <is>
          <t>M1</t>
        </is>
      </c>
      <c r="B8" s="9" t="inlineStr">
        <is>
          <t>Luna engine: walking skeleton</t>
        </is>
      </c>
      <c r="C8" s="9" t="inlineStr">
        <is>
          <t>3-4</t>
        </is>
      </c>
      <c r="D8" s="13" t="n">
        <v>5</v>
      </c>
      <c r="E8" s="13" t="n">
        <v>9</v>
      </c>
      <c r="F8" s="9">
        <f>ROUND((D8+E8)/2,0)</f>
        <v/>
      </c>
      <c r="G8" s="9">
        <f>H7+1</f>
        <v/>
      </c>
      <c r="H8" s="9">
        <f>G8+F8-1</f>
        <v/>
      </c>
      <c r="I8" s="14">
        <f>$B$4+(G8-1)*7</f>
        <v/>
      </c>
      <c r="J8" s="14">
        <f>$B$4+H8*7-1</f>
        <v/>
      </c>
      <c r="K8" s="14">
        <f>$B$4+SUM($D$7:D8)*7-1</f>
        <v/>
      </c>
      <c r="L8" s="14">
        <f>$B$4+SUM($E$7:E8)*7-1</f>
        <v/>
      </c>
      <c r="M8" s="9">
        <f>SUMIFS('User Stories'!$H$5:$H$59,'User Stories'!$J$5:$J$59,A8,'User Stories'!$F$5:$F$59,"Must")&amp;" - "&amp;SUMIFS('User Stories'!$I$5:$I$59,'User Stories'!$J$5:$J$59,A8,'User Stories'!$F$5:$F$59,"Must")</f>
        <v/>
      </c>
      <c r="N8" s="9" t="inlineStr">
        <is>
          <t>Luna opens a window; a demo character walks around a tile map at 60 FPS with crisp pixels at any window size; the build proves Luna contains no Odysseus code.</t>
        </is>
      </c>
    </row>
    <row r="9" ht="42" customHeight="1">
      <c r="A9" s="7" t="inlineStr">
        <is>
          <t>M1b</t>
        </is>
      </c>
      <c r="B9" s="9" t="inlineStr">
        <is>
          <t>Luna Physics (deterministic 3D)</t>
        </is>
      </c>
      <c r="C9" s="9" t="inlineStr">
        <is>
          <t>5</t>
        </is>
      </c>
      <c r="D9" s="13" t="n">
        <v>6</v>
      </c>
      <c r="E9" s="13" t="n">
        <v>12</v>
      </c>
      <c r="F9" s="9">
        <f>ROUND((D9+E9)/2,0)</f>
        <v/>
      </c>
      <c r="G9" s="9">
        <f>H8+1</f>
        <v/>
      </c>
      <c r="H9" s="9">
        <f>G9+F9-1</f>
        <v/>
      </c>
      <c r="I9" s="14">
        <f>$B$4+(G9-1)*7</f>
        <v/>
      </c>
      <c r="J9" s="14">
        <f>$B$4+H9*7-1</f>
        <v/>
      </c>
      <c r="K9" s="14">
        <f>$B$4+SUM($D$7:D9)*7-1</f>
        <v/>
      </c>
      <c r="L9" s="14">
        <f>$B$4+SUM($E$7:E9)*7-1</f>
        <v/>
      </c>
      <c r="M9" s="9">
        <f>SUMIFS('User Stories'!$H$5:$H$59,'User Stories'!$J$5:$J$59,A9,'User Stories'!$F$5:$F$59,"Must")&amp;" - "&amp;SUMIFS('User Stories'!$I$5:$I$59,'User Stories'!$J$5:$J$59,A9,'User Stories'!$F$5:$F$59,"Must")</f>
        <v/>
      </c>
      <c r="N9" s="9" t="inlineStr">
        <is>
          <t>Luna Physics passes its math, hit-detection, ballistics and rigid-body tests identically on every build; in the demo the hero throws a spear that flies in an arc with a shadow and hits a target.</t>
        </is>
      </c>
    </row>
    <row r="10" ht="42" customHeight="1">
      <c r="A10" s="7" t="inlineStr">
        <is>
          <t>M2</t>
        </is>
      </c>
      <c r="B10" s="9" t="inlineStr">
        <is>
          <t>Console clan simulator (KILL GATE 1)</t>
        </is>
      </c>
      <c r="C10" s="9" t="inlineStr">
        <is>
          <t>1-2</t>
        </is>
      </c>
      <c r="D10" s="13" t="n">
        <v>8</v>
      </c>
      <c r="E10" s="13" t="n">
        <v>15</v>
      </c>
      <c r="F10" s="9">
        <f>ROUND((D10+E10)/2,0)</f>
        <v/>
      </c>
      <c r="G10" s="9">
        <f>H9+1</f>
        <v/>
      </c>
      <c r="H10" s="9">
        <f>G10+F10-1</f>
        <v/>
      </c>
      <c r="I10" s="14">
        <f>$B$4+(G10-1)*7</f>
        <v/>
      </c>
      <c r="J10" s="14">
        <f>$B$4+H10*7-1</f>
        <v/>
      </c>
      <c r="K10" s="14">
        <f>$B$4+SUM($D$7:D10)*7-1</f>
        <v/>
      </c>
      <c r="L10" s="14">
        <f>$B$4+SUM($E$7:E10)*7-1</f>
        <v/>
      </c>
      <c r="M10" s="9">
        <f>SUMIFS('User Stories'!$H$5:$H$59,'User Stories'!$J$5:$J$59,A10,'User Stories'!$F$5:$F$59,"Must")&amp;" - "&amp;SUMIFS('User Stories'!$I$5:$I$59,'User Stories'!$J$5:$J$59,A10,'User Stories'!$F$5:$F$59,"Must")</f>
        <v/>
      </c>
      <c r="N10" s="9" t="inlineStr">
        <is>
          <t>The headless runner simulates a 20-person clan for 100 years without crashing; the printed chronicle is shown to 3 people and at least 2 find a story in it; the determinism test passes.</t>
        </is>
      </c>
    </row>
    <row r="11" ht="42" customHeight="1">
      <c r="A11" s="7" t="inlineStr">
        <is>
          <t>M2b</t>
        </is>
      </c>
      <c r="B11" s="9" t="inlineStr">
        <is>
          <t>Story engine (KILL GATE 1 retry)</t>
        </is>
      </c>
      <c r="C11" s="9" t="inlineStr">
        <is>
          <t>1-2</t>
        </is>
      </c>
      <c r="D11" s="13" t="n">
        <v>10</v>
      </c>
      <c r="E11" s="13" t="n">
        <v>20</v>
      </c>
      <c r="F11" s="9">
        <f>ROUND((D11+E11)/2,0)</f>
        <v/>
      </c>
      <c r="G11" s="9">
        <f>H10+1</f>
        <v/>
      </c>
      <c r="H11" s="9">
        <f>G11+F11-1</f>
        <v/>
      </c>
      <c r="I11" s="14">
        <f>$B$4+(G11-1)*7</f>
        <v/>
      </c>
      <c r="J11" s="14">
        <f>$B$4+H11*7-1</f>
        <v/>
      </c>
      <c r="K11" s="14">
        <f>$B$4+SUM($D$7:D11)*7-1</f>
        <v/>
      </c>
      <c r="L11" s="14">
        <f>$B$4+SUM($E$7:E11)*7-1</f>
        <v/>
      </c>
      <c r="M11" s="9">
        <f>SUMIFS('User Stories'!$H$5:$H$59,'User Stories'!$J$5:$J$59,A11,'User Stories'!$F$5:$F$59,"Must")&amp;" - "&amp;SUMIFS('User Stories'!$I$5:$I$59,'User Stories'!$J$5:$J$59,A11,'User Stories'!$F$5:$F$59,"Must")</f>
        <v/>
      </c>
      <c r="N11" s="9" t="inlineStr">
        <is>
          <t>The chronicle tells the clan's story in fewer, bigger episodes with reasons; every death and feud says why; the 100-year soak still runs without crashing and the determinism test passes; the owner reads the printed story and judges whether it is a story (Kill Gate 1 retry).</t>
        </is>
      </c>
    </row>
    <row r="12" ht="42" customHeight="1">
      <c r="A12" s="7" t="inlineStr">
        <is>
          <t>M3</t>
        </is>
      </c>
      <c r="B12" s="9" t="inlineStr">
        <is>
          <t>Living clan on screen</t>
        </is>
      </c>
      <c r="C12" s="9" t="inlineStr">
        <is>
          <t>5-6</t>
        </is>
      </c>
      <c r="D12" s="13" t="n">
        <v>3</v>
      </c>
      <c r="E12" s="13" t="n">
        <v>6</v>
      </c>
      <c r="F12" s="9">
        <f>ROUND((D12+E12)/2,0)</f>
        <v/>
      </c>
      <c r="G12" s="9">
        <f>H11+1</f>
        <v/>
      </c>
      <c r="H12" s="9">
        <f>G12+F12-1</f>
        <v/>
      </c>
      <c r="I12" s="14">
        <f>$B$4+(G12-1)*7</f>
        <v/>
      </c>
      <c r="J12" s="14">
        <f>$B$4+H12*7-1</f>
        <v/>
      </c>
      <c r="K12" s="14">
        <f>$B$4+SUM($D$7:D12)*7-1</f>
        <v/>
      </c>
      <c r="L12" s="14">
        <f>$B$4+SUM($E$7:E12)*7-1</f>
        <v/>
      </c>
      <c r="M12" s="9">
        <f>SUMIFS('User Stories'!$H$5:$H$59,'User Stories'!$J$5:$J$59,A12,'User Stories'!$F$5:$F$59,"Must")&amp;" - "&amp;SUMIFS('User Stories'!$I$5:$I$59,'User Stories'!$J$5:$J$59,A12,'User Stories'!$F$5:$F$59,"Must")</f>
        <v/>
      </c>
      <c r="N12" s="9" t="inlineStr">
        <is>
          <t>The clan from M2 and M2b runs inside the game; NPCs are visible, dressed in layered outfits, and act on their needs.</t>
        </is>
      </c>
    </row>
    <row r="13" ht="42" customHeight="1">
      <c r="A13" s="7" t="inlineStr">
        <is>
          <t>M4</t>
        </is>
      </c>
      <c r="B13" s="9" t="inlineStr">
        <is>
          <t>Region, tools and saves</t>
        </is>
      </c>
      <c r="C13" s="9" t="inlineStr">
        <is>
          <t>7-9</t>
        </is>
      </c>
      <c r="D13" s="13" t="n">
        <v>5</v>
      </c>
      <c r="E13" s="13" t="n">
        <v>10</v>
      </c>
      <c r="F13" s="9">
        <f>ROUND((D13+E13)/2,0)</f>
        <v/>
      </c>
      <c r="G13" s="9">
        <f>H12+1</f>
        <v/>
      </c>
      <c r="H13" s="9">
        <f>G13+F13-1</f>
        <v/>
      </c>
      <c r="I13" s="14">
        <f>$B$4+(G13-1)*7</f>
        <v/>
      </c>
      <c r="J13" s="14">
        <f>$B$4+H13*7-1</f>
        <v/>
      </c>
      <c r="K13" s="14">
        <f>$B$4+SUM($D$7:D13)*7-1</f>
        <v/>
      </c>
      <c r="L13" s="14">
        <f>$B$4+SUM($E$7:E13)*7-1</f>
        <v/>
      </c>
      <c r="M13" s="9">
        <f>SUMIFS('User Stories'!$H$5:$H$59,'User Stories'!$J$5:$J$59,A13,'User Stories'!$F$5:$F$59,"Must")&amp;" - "&amp;SUMIFS('User Stories'!$I$5:$I$59,'User Stories'!$J$5:$J$59,A13,'User Stories'!$F$5:$F$59,"Must")</f>
        <v/>
      </c>
      <c r="N13" s="9" t="inlineStr">
        <is>
          <t>A region is generated from a seed with biomes, resources and two rival clans; any NPC can be inspected; the game saves and loads.</t>
        </is>
      </c>
    </row>
    <row r="14">
      <c r="A14" s="7" t="inlineStr">
        <is>
          <t>M5</t>
        </is>
      </c>
      <c r="B14" s="9" t="inlineStr">
        <is>
          <t>Vertical slice feature-complete</t>
        </is>
      </c>
      <c r="C14" s="9" t="inlineStr">
        <is>
          <t>10</t>
        </is>
      </c>
      <c r="D14" s="13" t="n">
        <v>16</v>
      </c>
      <c r="E14" s="13" t="n">
        <v>31</v>
      </c>
      <c r="F14" s="9">
        <f>ROUND((D14+E14)/2,0)</f>
        <v/>
      </c>
      <c r="G14" s="9">
        <f>H13+1</f>
        <v/>
      </c>
      <c r="H14" s="9">
        <f>G14+F14-1</f>
        <v/>
      </c>
      <c r="I14" s="14">
        <f>$B$4+(G14-1)*7</f>
        <v/>
      </c>
      <c r="J14" s="14">
        <f>$B$4+H14*7-1</f>
        <v/>
      </c>
      <c r="K14" s="14">
        <f>$B$4+SUM($D$7:D14)*7-1</f>
        <v/>
      </c>
      <c r="L14" s="14">
        <f>$B$4+SUM($E$7:E14)*7-1</f>
        <v/>
      </c>
      <c r="M14" s="9">
        <f>SUMIFS('User Stories'!$H$5:$H$59,'User Stories'!$J$5:$J$59,A14,'User Stories'!$F$5:$F$59,"Must")&amp;" - "&amp;SUMIFS('User Stories'!$I$5:$I$59,'User Stories'!$J$5:$J$59,A14,'User Stories'!$F$5:$F$59,"Must")</f>
        <v/>
      </c>
      <c r="N14" s="9" t="inlineStr">
        <is>
          <t>A player can start a new game, live the Growing Period, take a profession, pursue Trade or Religion, and win or lose.</t>
        </is>
      </c>
    </row>
    <row r="15">
      <c r="A15" s="7" t="inlineStr">
        <is>
          <t>M6</t>
        </is>
      </c>
      <c r="B15" s="9" t="inlineStr">
        <is>
          <t>Playtest and go/no-go (KILL GATE 2)</t>
        </is>
      </c>
      <c r="C15" s="9" t="inlineStr">
        <is>
          <t>-</t>
        </is>
      </c>
      <c r="D15" s="13" t="n">
        <v>3</v>
      </c>
      <c r="E15" s="13" t="n">
        <v>4</v>
      </c>
      <c r="F15" s="9">
        <f>ROUND((D15+E15)/2,0)</f>
        <v/>
      </c>
      <c r="G15" s="9">
        <f>H14+1</f>
        <v/>
      </c>
      <c r="H15" s="9">
        <f>G15+F15-1</f>
        <v/>
      </c>
      <c r="I15" s="14">
        <f>$B$4+(G15-1)*7</f>
        <v/>
      </c>
      <c r="J15" s="14">
        <f>$B$4+H15*7-1</f>
        <v/>
      </c>
      <c r="K15" s="14">
        <f>$B$4+SUM($D$7:D15)*7-1</f>
        <v/>
      </c>
      <c r="L15" s="14">
        <f>$B$4+SUM($E$7:E15)*7-1</f>
        <v/>
      </c>
      <c r="M15" s="9">
        <f>SUMIFS('User Stories'!$H$5:$H$59,'User Stories'!$J$5:$J$59,A15,'User Stories'!$F$5:$F$59,"Must")&amp;" - "&amp;SUMIFS('User Stories'!$I$5:$I$59,'User Stories'!$J$5:$J$59,A15,'User Stories'!$F$5:$F$59,"Must")</f>
        <v/>
      </c>
      <c r="N15" s="9" t="inlineStr">
        <is>
          <t>8 outside playtesters play; success criteria measured; go/no-go decision recorded.</t>
        </is>
      </c>
    </row>
    <row r="16">
      <c r="A16" s="7" t="inlineStr"/>
      <c r="B16" s="7" t="inlineStr">
        <is>
          <t>MVP total</t>
        </is>
      </c>
      <c r="C16" s="7" t="inlineStr"/>
      <c r="D16" s="7">
        <f>SUM(D7:D15)</f>
        <v/>
      </c>
      <c r="E16" s="7">
        <f>SUM(E7:E15)</f>
        <v/>
      </c>
      <c r="F16" s="7">
        <f>SUM(F7:F15)</f>
        <v/>
      </c>
      <c r="G16" s="7" t="inlineStr"/>
      <c r="H16" s="7">
        <f>H15</f>
        <v/>
      </c>
      <c r="I16" s="15">
        <f>I7</f>
        <v/>
      </c>
      <c r="J16" s="15">
        <f>J15</f>
        <v/>
      </c>
      <c r="K16" s="15">
        <f>K15</f>
        <v/>
      </c>
      <c r="L16" s="15">
        <f>L15</f>
        <v/>
      </c>
      <c r="M16" s="7" t="inlineStr"/>
      <c r="N16" s="7" t="inlineStr">
        <is>
          <t>Months (likely) = weeks / 4.33</t>
        </is>
      </c>
    </row>
    <row r="17" ht="28" customHeight="1">
      <c r="A17" s="7" t="inlineStr"/>
      <c r="B17" s="7" t="inlineStr">
        <is>
          <t>In months</t>
        </is>
      </c>
      <c r="C17" s="7" t="inlineStr"/>
      <c r="D17" s="7">
        <f>ROUND(D16/4.33,1)</f>
        <v/>
      </c>
      <c r="E17" s="7">
        <f>ROUND(E16/4.33,1)</f>
        <v/>
      </c>
      <c r="F17" s="7">
        <f>ROUND(F16/4.33,1)</f>
        <v/>
      </c>
      <c r="G17" s="7" t="inlineStr"/>
      <c r="H17" s="7" t="inlineStr"/>
      <c r="I17" s="7" t="inlineStr"/>
      <c r="J17" s="7" t="inlineStr"/>
      <c r="K17" s="7" t="inlineStr"/>
      <c r="L17" s="7" t="inlineStr"/>
      <c r="M17" s="7" t="inlineStr"/>
      <c r="N17" s="7" t="inlineStr"/>
    </row>
    <row r="18" ht="28" customHeight="1"/>
    <row r="19" ht="28" customHeight="1">
      <c r="B19" s="4" t="inlineStr">
        <is>
          <t>Why the estimate grew: the learning path (requirements, section 8.3) estimated 9-13 months top-down. The bottom-up sum of the MVP stories is higher; this sheet uses the bottom-up figure.</t>
        </is>
      </c>
    </row>
    <row r="20">
      <c r="B20" s="4" t="inlineStr">
        <is>
          <t>Buffer: the 'Should' stories are the cut list if time runs short. Cutting all of them saves about 5-11 weeks.</t>
        </is>
      </c>
    </row>
    <row r="21">
      <c r="B21" s="4" t="inlineStr">
        <is>
          <t>Kill gates: M2 (is the console chronicle interesting? failed 2026-09-30; retried at M2b) and M6 (do playtesters stay?). Critical path: M0 &gt; M1 &gt; M1b &gt; M2 &gt; M2b &gt; M3 &gt; M4 &gt; M5 &gt; M6; the engine and its physics come first (owner decisions 2026-09-29/30).</t>
        </is>
      </c>
    </row>
  </sheetData>
  <mergeCells count="3">
    <mergeCell ref="B19:N19"/>
    <mergeCell ref="B20:N20"/>
    <mergeCell ref="B18:N18"/>
  </mergeCells>
  <conditionalFormatting sqref="P7:CQ15">
    <cfRule type="expression" priority="1" dxfId="2">
      <formula>AND(P$6&gt;=$G7,P$6&lt;=$H7)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6" customWidth="1" min="1" max="1"/>
    <col width="70" customWidth="1" min="2" max="2"/>
    <col width="18" customWidth="1" min="3" max="3"/>
    <col width="14" customWidth="1" min="4" max="4"/>
    <col width="26" customWidth="1" min="5" max="5"/>
    <col width="16" customWidth="1" min="6" max="6"/>
    <col width="11" customWidth="1" min="7" max="7"/>
  </cols>
  <sheetData>
    <row r="1">
      <c r="A1" s="1" t="inlineStr">
        <is>
          <t>Dependencies</t>
        </is>
      </c>
    </row>
    <row r="2">
      <c r="A2" s="2" t="inlineStr">
        <is>
          <t>Design decisions you owe, external needs, and the technical chain. A story is Ready only when its dependencies are Decided.</t>
        </is>
      </c>
    </row>
    <row r="4">
      <c r="A4" s="6" t="inlineStr">
        <is>
          <t>ID</t>
        </is>
      </c>
      <c r="B4" s="6" t="inlineStr">
        <is>
          <t>Dependency</t>
        </is>
      </c>
      <c r="C4" s="6" t="inlineStr">
        <is>
          <t>Type</t>
        </is>
      </c>
      <c r="D4" s="6" t="inlineStr">
        <is>
          <t>Needed by</t>
        </is>
      </c>
      <c r="E4" s="6" t="inlineStr">
        <is>
          <t>Blocks</t>
        </is>
      </c>
      <c r="F4" s="6" t="inlineStr">
        <is>
          <t>Owner</t>
        </is>
      </c>
      <c r="G4" s="6" t="inlineStr">
        <is>
          <t>Status</t>
        </is>
      </c>
    </row>
    <row r="5">
      <c r="A5" s="7" t="inlineStr">
        <is>
          <t>D-01</t>
        </is>
      </c>
      <c r="B5" s="9" t="inlineStr">
        <is>
          <t>Confirm time model: pausable real time with speed control (OPEN-04)</t>
        </is>
      </c>
      <c r="C5" s="9" t="inlineStr">
        <is>
          <t>Design decision</t>
        </is>
      </c>
      <c r="D5" s="9" t="inlineStr">
        <is>
          <t>M2</t>
        </is>
      </c>
      <c r="E5" s="9" t="inlineStr">
        <is>
          <t>US-010</t>
        </is>
      </c>
      <c r="F5" s="9" t="inlineStr">
        <is>
          <t>Owner</t>
        </is>
      </c>
      <c r="G5" s="16" t="inlineStr">
        <is>
          <t>Decided</t>
        </is>
      </c>
    </row>
    <row r="6">
      <c r="A6" s="7" t="inlineStr">
        <is>
          <t>D-02</t>
        </is>
      </c>
      <c r="B6" s="9" t="inlineStr">
        <is>
          <t>Side Characters: needs, traits, relationships (OPEN-10). Decided by Dominus (delegated), 2026-09-30.</t>
        </is>
      </c>
      <c r="C6" s="9" t="inlineStr">
        <is>
          <t>Design decision</t>
        </is>
      </c>
      <c r="D6" s="9" t="inlineStr">
        <is>
          <t>M2 (week 3)</t>
        </is>
      </c>
      <c r="E6" s="9" t="inlineStr">
        <is>
          <t>US-011, US-012, US-013</t>
        </is>
      </c>
      <c r="F6" s="9" t="inlineStr">
        <is>
          <t>Owner + Dominus</t>
        </is>
      </c>
      <c r="G6" s="16" t="inlineStr">
        <is>
          <t>Decided</t>
        </is>
      </c>
    </row>
    <row r="7">
      <c r="A7" s="7" t="inlineStr">
        <is>
          <t>D-03</t>
        </is>
      </c>
      <c r="B7" s="9" t="inlineStr">
        <is>
          <t>Confirm the Age 1 needs set: Hunger, Energy, Warmth, Social</t>
        </is>
      </c>
      <c r="C7" s="9" t="inlineStr">
        <is>
          <t>Design decision</t>
        </is>
      </c>
      <c r="D7" s="9" t="inlineStr">
        <is>
          <t>M2</t>
        </is>
      </c>
      <c r="E7" s="9" t="inlineStr">
        <is>
          <t>US-011</t>
        </is>
      </c>
      <c r="F7" s="9" t="inlineStr">
        <is>
          <t>Owner</t>
        </is>
      </c>
      <c r="G7" s="16" t="inlineStr">
        <is>
          <t>Decided</t>
        </is>
      </c>
    </row>
    <row r="8">
      <c r="A8" s="7" t="inlineStr">
        <is>
          <t>D-04</t>
        </is>
      </c>
      <c r="B8" s="9" t="inlineStr">
        <is>
          <t>Sprite size and facing directions (OPEN-11). Owner answer 2026-09-29: 32x48 px, 8 directions.</t>
        </is>
      </c>
      <c r="C8" s="9" t="inlineStr">
        <is>
          <t>Design decision</t>
        </is>
      </c>
      <c r="D8" s="9" t="inlineStr">
        <is>
          <t>M1</t>
        </is>
      </c>
      <c r="E8" s="9" t="inlineStr">
        <is>
          <t>US-022, US-024, US-030</t>
        </is>
      </c>
      <c r="F8" s="9" t="inlineStr">
        <is>
          <t>Owner</t>
        </is>
      </c>
      <c r="G8" s="16" t="inlineStr">
        <is>
          <t>Decided</t>
        </is>
      </c>
    </row>
    <row r="9">
      <c r="A9" s="7" t="inlineStr">
        <is>
          <t>D-05</t>
        </is>
      </c>
      <c r="B9" s="9" t="inlineStr">
        <is>
          <t>Art source for placeholders: own, free asset pack, or hired (OPEN-12)</t>
        </is>
      </c>
      <c r="C9" s="9" t="inlineStr">
        <is>
          <t>Design decision</t>
        </is>
      </c>
      <c r="D9" s="9" t="inlineStr">
        <is>
          <t>M3</t>
        </is>
      </c>
      <c r="E9" s="9" t="inlineStr">
        <is>
          <t>US-030</t>
        </is>
      </c>
      <c r="F9" s="9" t="inlineStr">
        <is>
          <t>Owner</t>
        </is>
      </c>
      <c r="G9" s="16" t="inlineStr">
        <is>
          <t>Open</t>
        </is>
      </c>
    </row>
    <row r="10">
      <c r="A10" s="7" t="inlineStr">
        <is>
          <t>D-06</t>
        </is>
      </c>
      <c r="B10" s="9" t="inlineStr">
        <is>
          <t>Minimum PC spec (OPEN-19)</t>
        </is>
      </c>
      <c r="C10" s="9" t="inlineStr">
        <is>
          <t>Design decision</t>
        </is>
      </c>
      <c r="D10" s="9" t="inlineStr">
        <is>
          <t>M4</t>
        </is>
      </c>
      <c r="E10" s="9" t="inlineStr">
        <is>
          <t>US-082</t>
        </is>
      </c>
      <c r="F10" s="9" t="inlineStr">
        <is>
          <t>Owner</t>
        </is>
      </c>
      <c r="G10" s="16" t="inlineStr">
        <is>
          <t>Open</t>
        </is>
      </c>
    </row>
    <row r="11">
      <c r="A11" s="7" t="inlineStr">
        <is>
          <t>D-07</t>
        </is>
      </c>
      <c r="B11" s="9" t="inlineStr">
        <is>
          <t>Calendar display (OPEN-15)</t>
        </is>
      </c>
      <c r="C11" s="9" t="inlineStr">
        <is>
          <t>Design decision</t>
        </is>
      </c>
      <c r="D11" s="9" t="inlineStr">
        <is>
          <t>M4</t>
        </is>
      </c>
      <c r="E11" s="9" t="inlineStr">
        <is>
          <t>US-050, US-083</t>
        </is>
      </c>
      <c r="F11" s="9" t="inlineStr">
        <is>
          <t>Owner</t>
        </is>
      </c>
      <c r="G11" s="16" t="inlineStr">
        <is>
          <t>Open</t>
        </is>
      </c>
    </row>
    <row r="12">
      <c r="A12" s="7" t="inlineStr">
        <is>
          <t>D-08</t>
        </is>
      </c>
      <c r="B12" s="9" t="inlineStr">
        <is>
          <t>Interactions interview: verbs, objects, crafting (OPEN-09)</t>
        </is>
      </c>
      <c r="C12" s="9" t="inlineStr">
        <is>
          <t>Design decision</t>
        </is>
      </c>
      <c r="D12" s="9" t="inlineStr">
        <is>
          <t>M4</t>
        </is>
      </c>
      <c r="E12" s="9" t="inlineStr">
        <is>
          <t>US-061, US-062</t>
        </is>
      </c>
      <c r="F12" s="9" t="inlineStr">
        <is>
          <t>Owner + Dominus</t>
        </is>
      </c>
      <c r="G12" s="16" t="inlineStr">
        <is>
          <t>Open</t>
        </is>
      </c>
    </row>
    <row r="13">
      <c r="A13" s="7" t="inlineStr">
        <is>
          <t>D-09</t>
        </is>
      </c>
      <c r="B13" s="9" t="inlineStr">
        <is>
          <t>Confirm the five Age 1 professions (MVP-07)</t>
        </is>
      </c>
      <c r="C13" s="9" t="inlineStr">
        <is>
          <t>Design decision</t>
        </is>
      </c>
      <c r="D13" s="9" t="inlineStr">
        <is>
          <t>M4</t>
        </is>
      </c>
      <c r="E13" s="9" t="inlineStr">
        <is>
          <t>US-060</t>
        </is>
      </c>
      <c r="F13" s="9" t="inlineStr">
        <is>
          <t>Owner</t>
        </is>
      </c>
      <c r="G13" s="16" t="inlineStr">
        <is>
          <t>Proposed</t>
        </is>
      </c>
    </row>
    <row r="14">
      <c r="A14" s="7" t="inlineStr">
        <is>
          <t>D-10</t>
        </is>
      </c>
      <c r="B14" s="9" t="inlineStr">
        <is>
          <t>Confirm MVP pillars Trade + Religion (MVP-08) and victory thresholds (MVP-09)</t>
        </is>
      </c>
      <c r="C14" s="9" t="inlineStr">
        <is>
          <t>Design decision</t>
        </is>
      </c>
      <c r="D14" s="9" t="inlineStr">
        <is>
          <t>M5</t>
        </is>
      </c>
      <c r="E14" s="9" t="inlineStr">
        <is>
          <t>US-070..US-073</t>
        </is>
      </c>
      <c r="F14" s="9" t="inlineStr">
        <is>
          <t>Owner</t>
        </is>
      </c>
      <c r="G14" s="16" t="inlineStr">
        <is>
          <t>Proposed</t>
        </is>
      </c>
    </row>
    <row r="15">
      <c r="A15" s="7" t="inlineStr">
        <is>
          <t>D-11</t>
        </is>
      </c>
      <c r="B15" s="9" t="inlineStr">
        <is>
          <t>Story interview: tone of events, onboarding elder (OPEN-08)</t>
        </is>
      </c>
      <c r="C15" s="9" t="inlineStr">
        <is>
          <t>Design decision</t>
        </is>
      </c>
      <c r="D15" s="9" t="inlineStr">
        <is>
          <t>M5</t>
        </is>
      </c>
      <c r="E15" s="9" t="inlineStr">
        <is>
          <t>US-052, US-090</t>
        </is>
      </c>
      <c r="F15" s="9" t="inlineStr">
        <is>
          <t>Owner + Dominus</t>
        </is>
      </c>
      <c r="G15" s="16" t="inlineStr">
        <is>
          <t>Open</t>
        </is>
      </c>
    </row>
    <row r="16">
      <c r="A16" s="7" t="inlineStr">
        <is>
          <t>D-12</t>
        </is>
      </c>
      <c r="B16" s="9" t="inlineStr">
        <is>
          <t>Visual Studio, CMake, Git, vcpkg installed; GitHub account and private repo</t>
        </is>
      </c>
      <c r="C16" s="9" t="inlineStr">
        <is>
          <t>External / tooling</t>
        </is>
      </c>
      <c r="D16" s="9" t="inlineStr">
        <is>
          <t>M0</t>
        </is>
      </c>
      <c r="E16" s="9" t="inlineStr">
        <is>
          <t>US-001, US-002</t>
        </is>
      </c>
      <c r="F16" s="9" t="inlineStr">
        <is>
          <t>Owner</t>
        </is>
      </c>
      <c r="G16" s="16" t="inlineStr">
        <is>
          <t>Decided</t>
        </is>
      </c>
    </row>
    <row r="17">
      <c r="A17" s="7" t="inlineStr">
        <is>
          <t>D-13</t>
        </is>
      </c>
      <c r="B17" s="9" t="inlineStr">
        <is>
          <t>SDL3, EnTT, Dear ImGui, nlohmann/json, doctest, FastNoiseLite available via vcpkg or third_party</t>
        </is>
      </c>
      <c r="C17" s="9" t="inlineStr">
        <is>
          <t>External / libraries</t>
        </is>
      </c>
      <c r="D17" s="9" t="inlineStr">
        <is>
          <t>M0-M4</t>
        </is>
      </c>
      <c r="E17" s="9" t="inlineStr">
        <is>
          <t>US-020, US-032, US-083, US-016, US-040</t>
        </is>
      </c>
      <c r="F17" s="9" t="inlineStr">
        <is>
          <t>Developer</t>
        </is>
      </c>
      <c r="G17" s="16" t="inlineStr">
        <is>
          <t>Decided</t>
        </is>
      </c>
    </row>
    <row r="18">
      <c r="A18" s="7" t="inlineStr">
        <is>
          <t>D-14</t>
        </is>
      </c>
      <c r="B18" s="9" t="inlineStr">
        <is>
          <t>Eight outside playtesters recruited</t>
        </is>
      </c>
      <c r="C18" s="9" t="inlineStr">
        <is>
          <t>External / people</t>
        </is>
      </c>
      <c r="D18" s="9" t="inlineStr">
        <is>
          <t>M6</t>
        </is>
      </c>
      <c r="E18" s="9" t="inlineStr">
        <is>
          <t>Kill gate 2</t>
        </is>
      </c>
      <c r="F18" s="9" t="inlineStr">
        <is>
          <t>Owner</t>
        </is>
      </c>
      <c r="G18" s="16" t="inlineStr">
        <is>
          <t>Open</t>
        </is>
      </c>
    </row>
    <row r="19">
      <c r="A19" s="7" t="inlineStr">
        <is>
          <t>D-15</t>
        </is>
      </c>
      <c r="B19" s="9" t="inlineStr">
        <is>
          <t>Technical chain: M0 &gt; M1 &gt; M1b &gt; M2 &gt; M2b &gt; M3 &gt; M4 &gt; M5 &gt; M6 (each milestone needs the previous one)</t>
        </is>
      </c>
      <c r="C19" s="9" t="inlineStr">
        <is>
          <t>Technical</t>
        </is>
      </c>
      <c r="D19" s="9" t="inlineStr">
        <is>
          <t>All</t>
        </is>
      </c>
      <c r="E19" s="9" t="inlineStr">
        <is>
          <t>All</t>
        </is>
      </c>
      <c r="F19" s="9" t="inlineStr">
        <is>
          <t>Developer</t>
        </is>
      </c>
      <c r="G19" s="16" t="inlineStr">
        <is>
          <t>Planned</t>
        </is>
      </c>
    </row>
    <row r="20">
      <c r="A20" s="7" t="inlineStr">
        <is>
          <t>D-GATE-M2</t>
        </is>
      </c>
      <c r="B20" s="9" t="inlineStr">
        <is>
          <t>Kill Gate 1 result: did 2 of 3 readers find a story in the console chronicle?</t>
        </is>
      </c>
      <c r="C20" s="9" t="inlineStr">
        <is>
          <t>External / people</t>
        </is>
      </c>
      <c r="D20" s="9" t="inlineStr">
        <is>
          <t>M2 exit</t>
        </is>
      </c>
      <c r="E20" s="9" t="inlineStr">
        <is>
          <t>M3 (all)</t>
        </is>
      </c>
      <c r="F20" s="9" t="inlineStr">
        <is>
          <t>Owner</t>
        </is>
      </c>
      <c r="G20" s="16" t="inlineStr">
        <is>
          <t>Decided: Pivot</t>
        </is>
      </c>
    </row>
    <row r="21">
      <c r="A21" s="7" t="inlineStr">
        <is>
          <t>D-18</t>
        </is>
      </c>
      <c r="B21" s="9" t="inlineStr">
        <is>
          <t>Story pivot design: story arcs on a richer social simulation; quarrels, blame, revenge; sharing and nursing; courtship and rivals; teaching and hunting parties; episodes plus lines with reasons; the owner judges the retry alone</t>
        </is>
      </c>
      <c r="C21" s="9" t="inlineStr">
        <is>
          <t>Design decision</t>
        </is>
      </c>
      <c r="D21" s="9" t="inlineStr">
        <is>
          <t>M2b</t>
        </is>
      </c>
      <c r="E21" s="9" t="inlineStr">
        <is>
          <t>US-110..US-115</t>
        </is>
      </c>
      <c r="F21" s="9" t="inlineStr">
        <is>
          <t>Owner</t>
        </is>
      </c>
      <c r="G21" s="16" t="inlineStr">
        <is>
          <t>Decided</t>
        </is>
      </c>
    </row>
    <row r="22">
      <c r="A22" s="7" t="inlineStr">
        <is>
          <t>D-GATE-M2b</t>
        </is>
      </c>
      <c r="B22" s="9" t="inlineStr">
        <is>
          <t>Kill Gate 1 retry: the owner reads the M2b story and judges whether it is a story</t>
        </is>
      </c>
      <c r="C22" s="9" t="inlineStr">
        <is>
          <t>External / people</t>
        </is>
      </c>
      <c r="D22" s="9" t="inlineStr">
        <is>
          <t>M2b exit</t>
        </is>
      </c>
      <c r="E22" s="9" t="inlineStr">
        <is>
          <t>M3 (all)</t>
        </is>
      </c>
      <c r="F22" s="9" t="inlineStr">
        <is>
          <t>Owner</t>
        </is>
      </c>
      <c r="G22" s="16" t="inlineStr">
        <is>
          <t>Open</t>
        </is>
      </c>
    </row>
  </sheetData>
  <conditionalFormatting sqref="G5:G19">
    <cfRule type="cellIs" priority="1" operator="equal" dxfId="3">
      <formula>"Open"</formula>
    </cfRule>
    <cfRule type="cellIs" priority="2" operator="equal" dxfId="0">
      <formula>"Proposed"</formula>
    </cfRule>
    <cfRule type="cellIs" priority="3" operator="equal" dxfId="1">
      <formula>"Decided"</formula>
    </cfRule>
    <cfRule type="cellIs" priority="4" operator="equal" dxfId="4">
      <formula>"Planned"</formula>
    </cfRule>
  </conditionalFormatting>
  <dataValidations count="1">
    <dataValidation sqref="G5:G19" showDropDown="0" showInputMessage="0" showErrorMessage="0" allowBlank="0" type="list">
      <formula1>"Open,Proposed,Decided,Planned"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6" customWidth="1" min="1" max="1"/>
    <col width="30" customWidth="1" min="2" max="2"/>
    <col width="60" customWidth="1" min="3" max="3"/>
    <col width="11" customWidth="1" min="4" max="4"/>
    <col width="9" customWidth="1" min="5" max="5"/>
    <col width="8" customWidth="1" min="6" max="6"/>
    <col width="11" customWidth="1" min="7" max="7"/>
    <col width="11" customWidth="1" min="8" max="8"/>
    <col width="8" customWidth="1" min="9" max="9"/>
    <col width="10" customWidth="1" min="10" max="10"/>
  </cols>
  <sheetData>
    <row r="1">
      <c r="A1" s="1" t="inlineStr">
        <is>
          <t>Epics</t>
        </is>
      </c>
    </row>
    <row r="2">
      <c r="A2" s="2" t="inlineStr">
        <is>
          <t>Counts, effort and progress are formulas over the User Stories sheet.</t>
        </is>
      </c>
    </row>
    <row r="4">
      <c r="A4" s="6" t="inlineStr">
        <is>
          <t>ID</t>
        </is>
      </c>
      <c r="B4" s="6" t="inlineStr">
        <is>
          <t>Epic</t>
        </is>
      </c>
      <c r="C4" s="6" t="inlineStr">
        <is>
          <t>Outcome</t>
        </is>
      </c>
      <c r="D4" s="6" t="inlineStr">
        <is>
          <t>Milestone</t>
        </is>
      </c>
      <c r="E4" s="6" t="inlineStr">
        <is>
          <t>Stories</t>
        </is>
      </c>
      <c r="F4" s="6" t="inlineStr">
        <is>
          <t>Must</t>
        </is>
      </c>
      <c r="G4" s="6" t="inlineStr">
        <is>
          <t>Weeks (low)</t>
        </is>
      </c>
      <c r="H4" s="6" t="inlineStr">
        <is>
          <t>Weeks (high)</t>
        </is>
      </c>
      <c r="I4" s="6" t="inlineStr">
        <is>
          <t>Done</t>
        </is>
      </c>
      <c r="J4" s="6" t="inlineStr">
        <is>
          <t>Progress</t>
        </is>
      </c>
    </row>
    <row r="5">
      <c r="A5" s="7" t="inlineStr">
        <is>
          <t>E0</t>
        </is>
      </c>
      <c r="B5" s="9" t="inlineStr">
        <is>
          <t>Foundations</t>
        </is>
      </c>
      <c r="C5" s="9" t="inlineStr">
        <is>
          <t>Every change builds, is tested and is safe to make.</t>
        </is>
      </c>
      <c r="D5" s="9" t="inlineStr">
        <is>
          <t>M0</t>
        </is>
      </c>
      <c r="E5" s="9">
        <f>COUNTIF('User Stories'!$B$5:$B$59,A5)</f>
        <v/>
      </c>
      <c r="F5" s="9">
        <f>COUNTIFS('User Stories'!$B$5:$B$59,A5,'User Stories'!$F$5:$F$59,"Must")</f>
        <v/>
      </c>
      <c r="G5" s="9">
        <f>SUMIF('User Stories'!$B$5:$B$59,A5,'User Stories'!$H$5:$H$59)</f>
        <v/>
      </c>
      <c r="H5" s="9">
        <f>SUMIF('User Stories'!$B$5:$B$59,A5,'User Stories'!$I$5:$I$59)</f>
        <v/>
      </c>
      <c r="I5" s="9">
        <f>COUNTIFS('User Stories'!$B$5:$B$59,A5,'User Stories'!$O$5:$O$59,"Done")</f>
        <v/>
      </c>
      <c r="J5" s="17">
        <f>IFERROR(I5/E5,0)</f>
        <v/>
      </c>
    </row>
    <row r="6">
      <c r="A6" s="7" t="inlineStr">
        <is>
          <t>E1</t>
        </is>
      </c>
      <c r="B6" s="9" t="inlineStr">
        <is>
          <t>Headless clan simulation</t>
        </is>
      </c>
      <c r="C6" s="9" t="inlineStr">
        <is>
          <t>A clan lives, remembers and produces a readable chronicle, with no graphics.</t>
        </is>
      </c>
      <c r="D6" s="9" t="inlineStr">
        <is>
          <t>M2</t>
        </is>
      </c>
      <c r="E6" s="9">
        <f>COUNTIF('User Stories'!$B$5:$B$59,A6)</f>
        <v/>
      </c>
      <c r="F6" s="9">
        <f>COUNTIFS('User Stories'!$B$5:$B$59,A6,'User Stories'!$F$5:$F$59,"Must")</f>
        <v/>
      </c>
      <c r="G6" s="9">
        <f>SUMIF('User Stories'!$B$5:$B$59,A6,'User Stories'!$H$5:$H$59)</f>
        <v/>
      </c>
      <c r="H6" s="9">
        <f>SUMIF('User Stories'!$B$5:$B$59,A6,'User Stories'!$I$5:$I$59)</f>
        <v/>
      </c>
      <c r="I6" s="9">
        <f>COUNTIFS('User Stories'!$B$5:$B$59,A6,'User Stories'!$O$5:$O$59,"Done")</f>
        <v/>
      </c>
      <c r="J6" s="17">
        <f>IFERROR(I6/E6,0)</f>
        <v/>
      </c>
    </row>
    <row r="7">
      <c r="A7" s="7" t="inlineStr">
        <is>
          <t>E2</t>
        </is>
      </c>
      <c r="B7" s="9" t="inlineStr">
        <is>
          <t>Luna engine walking skeleton</t>
        </is>
      </c>
      <c r="C7" s="9" t="inlineStr">
        <is>
          <t>The player sees and controls a character in a window.</t>
        </is>
      </c>
      <c r="D7" s="9" t="inlineStr">
        <is>
          <t>M1</t>
        </is>
      </c>
      <c r="E7" s="9">
        <f>COUNTIF('User Stories'!$B$5:$B$59,A7)</f>
        <v/>
      </c>
      <c r="F7" s="9">
        <f>COUNTIFS('User Stories'!$B$5:$B$59,A7,'User Stories'!$F$5:$F$59,"Must")</f>
        <v/>
      </c>
      <c r="G7" s="9">
        <f>SUMIF('User Stories'!$B$5:$B$59,A7,'User Stories'!$H$5:$H$59)</f>
        <v/>
      </c>
      <c r="H7" s="9">
        <f>SUMIF('User Stories'!$B$5:$B$59,A7,'User Stories'!$I$5:$I$59)</f>
        <v/>
      </c>
      <c r="I7" s="9">
        <f>COUNTIFS('User Stories'!$B$5:$B$59,A7,'User Stories'!$O$5:$O$59,"Done")</f>
        <v/>
      </c>
      <c r="J7" s="17">
        <f>IFERROR(I7/E7,0)</f>
        <v/>
      </c>
    </row>
    <row r="8">
      <c r="A8" s="7" t="inlineStr">
        <is>
          <t>E3</t>
        </is>
      </c>
      <c r="B8" s="9" t="inlineStr">
        <is>
          <t>Characters on screen</t>
        </is>
      </c>
      <c r="C8" s="9" t="inlineStr">
        <is>
          <t>The simulated clan is visible and readable at a glance.</t>
        </is>
      </c>
      <c r="D8" s="9" t="inlineStr">
        <is>
          <t>M3</t>
        </is>
      </c>
      <c r="E8" s="9">
        <f>COUNTIF('User Stories'!$B$5:$B$59,A8)</f>
        <v/>
      </c>
      <c r="F8" s="9">
        <f>COUNTIFS('User Stories'!$B$5:$B$59,A8,'User Stories'!$F$5:$F$59,"Must")</f>
        <v/>
      </c>
      <c r="G8" s="9">
        <f>SUMIF('User Stories'!$B$5:$B$59,A8,'User Stories'!$H$5:$H$59)</f>
        <v/>
      </c>
      <c r="H8" s="9">
        <f>SUMIF('User Stories'!$B$5:$B$59,A8,'User Stories'!$I$5:$I$59)</f>
        <v/>
      </c>
      <c r="I8" s="9">
        <f>COUNTIFS('User Stories'!$B$5:$B$59,A8,'User Stories'!$O$5:$O$59,"Done")</f>
        <v/>
      </c>
      <c r="J8" s="17">
        <f>IFERROR(I8/E8,0)</f>
        <v/>
      </c>
    </row>
    <row r="9">
      <c r="A9" s="7" t="inlineStr">
        <is>
          <t>E4</t>
        </is>
      </c>
      <c r="B9" s="9" t="inlineStr">
        <is>
          <t>Procedural region</t>
        </is>
      </c>
      <c r="C9" s="9" t="inlineStr">
        <is>
          <t>Every new game has a different, believable region to live in.</t>
        </is>
      </c>
      <c r="D9" s="9" t="inlineStr">
        <is>
          <t>M4</t>
        </is>
      </c>
      <c r="E9" s="9">
        <f>COUNTIF('User Stories'!$B$5:$B$59,A9)</f>
        <v/>
      </c>
      <c r="F9" s="9">
        <f>COUNTIFS('User Stories'!$B$5:$B$59,A9,'User Stories'!$F$5:$F$59,"Must")</f>
        <v/>
      </c>
      <c r="G9" s="9">
        <f>SUMIF('User Stories'!$B$5:$B$59,A9,'User Stories'!$H$5:$H$59)</f>
        <v/>
      </c>
      <c r="H9" s="9">
        <f>SUMIF('User Stories'!$B$5:$B$59,A9,'User Stories'!$I$5:$I$59)</f>
        <v/>
      </c>
      <c r="I9" s="9">
        <f>COUNTIFS('User Stories'!$B$5:$B$59,A9,'User Stories'!$O$5:$O$59,"Done")</f>
        <v/>
      </c>
      <c r="J9" s="17">
        <f>IFERROR(I9/E9,0)</f>
        <v/>
      </c>
    </row>
    <row r="10">
      <c r="A10" s="7" t="inlineStr">
        <is>
          <t>E5</t>
        </is>
      </c>
      <c r="B10" s="9" t="inlineStr">
        <is>
          <t>Life and the Growing Period</t>
        </is>
      </c>
      <c r="C10" s="9" t="inlineStr">
        <is>
          <t>The player's choices from 12 to 26 shape who the hero becomes.</t>
        </is>
      </c>
      <c r="D10" s="9" t="inlineStr">
        <is>
          <t>M5</t>
        </is>
      </c>
      <c r="E10" s="9">
        <f>COUNTIF('User Stories'!$B$5:$B$59,A10)</f>
        <v/>
      </c>
      <c r="F10" s="9">
        <f>COUNTIFS('User Stories'!$B$5:$B$59,A10,'User Stories'!$F$5:$F$59,"Must")</f>
        <v/>
      </c>
      <c r="G10" s="9">
        <f>SUMIF('User Stories'!$B$5:$B$59,A10,'User Stories'!$H$5:$H$59)</f>
        <v/>
      </c>
      <c r="H10" s="9">
        <f>SUMIF('User Stories'!$B$5:$B$59,A10,'User Stories'!$I$5:$I$59)</f>
        <v/>
      </c>
      <c r="I10" s="9">
        <f>COUNTIFS('User Stories'!$B$5:$B$59,A10,'User Stories'!$O$5:$O$59,"Done")</f>
        <v/>
      </c>
      <c r="J10" s="17">
        <f>IFERROR(I10/E10,0)</f>
        <v/>
      </c>
    </row>
    <row r="11">
      <c r="A11" s="7" t="inlineStr">
        <is>
          <t>E6</t>
        </is>
      </c>
      <c r="B11" s="9" t="inlineStr">
        <is>
          <t>Professions and interactions</t>
        </is>
      </c>
      <c r="C11" s="9" t="inlineStr">
        <is>
          <t>The player works, crafts and learns a trade in the world.</t>
        </is>
      </c>
      <c r="D11" s="9" t="inlineStr">
        <is>
          <t>M5</t>
        </is>
      </c>
      <c r="E11" s="9">
        <f>COUNTIF('User Stories'!$B$5:$B$59,A11)</f>
        <v/>
      </c>
      <c r="F11" s="9">
        <f>COUNTIFS('User Stories'!$B$5:$B$59,A11,'User Stories'!$F$5:$F$59,"Must")</f>
        <v/>
      </c>
      <c r="G11" s="9">
        <f>SUMIF('User Stories'!$B$5:$B$59,A11,'User Stories'!$H$5:$H$59)</f>
        <v/>
      </c>
      <c r="H11" s="9">
        <f>SUMIF('User Stories'!$B$5:$B$59,A11,'User Stories'!$I$5:$I$59)</f>
        <v/>
      </c>
      <c r="I11" s="9">
        <f>COUNTIFS('User Stories'!$B$5:$B$59,A11,'User Stories'!$O$5:$O$59,"Done")</f>
        <v/>
      </c>
      <c r="J11" s="17">
        <f>IFERROR(I11/E11,0)</f>
        <v/>
      </c>
    </row>
    <row r="12">
      <c r="A12" s="7" t="inlineStr">
        <is>
          <t>E7</t>
        </is>
      </c>
      <c r="B12" s="9" t="inlineStr">
        <is>
          <t>Pillars and regional dominion</t>
        </is>
      </c>
      <c r="C12" s="9" t="inlineStr">
        <is>
          <t>The player can lead the region through Trade or Religion.</t>
        </is>
      </c>
      <c r="D12" s="9" t="inlineStr">
        <is>
          <t>M5</t>
        </is>
      </c>
      <c r="E12" s="9">
        <f>COUNTIF('User Stories'!$B$5:$B$59,A12)</f>
        <v/>
      </c>
      <c r="F12" s="9">
        <f>COUNTIFS('User Stories'!$B$5:$B$59,A12,'User Stories'!$F$5:$F$59,"Must")</f>
        <v/>
      </c>
      <c r="G12" s="9">
        <f>SUMIF('User Stories'!$B$5:$B$59,A12,'User Stories'!$H$5:$H$59)</f>
        <v/>
      </c>
      <c r="H12" s="9">
        <f>SUMIF('User Stories'!$B$5:$B$59,A12,'User Stories'!$I$5:$I$59)</f>
        <v/>
      </c>
      <c r="I12" s="9">
        <f>COUNTIFS('User Stories'!$B$5:$B$59,A12,'User Stories'!$O$5:$O$59,"Done")</f>
        <v/>
      </c>
      <c r="J12" s="17">
        <f>IFERROR(I12/E12,0)</f>
        <v/>
      </c>
    </row>
    <row r="13">
      <c r="A13" s="7" t="inlineStr">
        <is>
          <t>E8</t>
        </is>
      </c>
      <c r="B13" s="9" t="inlineStr">
        <is>
          <t>Saves, settings and quality</t>
        </is>
      </c>
      <c r="C13" s="9" t="inlineStr">
        <is>
          <t>The game is stable, fast, and never loses progress.</t>
        </is>
      </c>
      <c r="D13" s="9" t="inlineStr">
        <is>
          <t>M4-M5</t>
        </is>
      </c>
      <c r="E13" s="9">
        <f>COUNTIF('User Stories'!$B$5:$B$59,A13)</f>
        <v/>
      </c>
      <c r="F13" s="9">
        <f>COUNTIFS('User Stories'!$B$5:$B$59,A13,'User Stories'!$F$5:$F$59,"Must")</f>
        <v/>
      </c>
      <c r="G13" s="9">
        <f>SUMIF('User Stories'!$B$5:$B$59,A13,'User Stories'!$H$5:$H$59)</f>
        <v/>
      </c>
      <c r="H13" s="9">
        <f>SUMIF('User Stories'!$B$5:$B$59,A13,'User Stories'!$I$5:$I$59)</f>
        <v/>
      </c>
      <c r="I13" s="9">
        <f>COUNTIFS('User Stories'!$B$5:$B$59,A13,'User Stories'!$O$5:$O$59,"Done")</f>
        <v/>
      </c>
      <c r="J13" s="17">
        <f>IFERROR(I13/E13,0)</f>
        <v/>
      </c>
    </row>
    <row r="14">
      <c r="A14" s="7" t="inlineStr">
        <is>
          <t>E9</t>
        </is>
      </c>
      <c r="B14" s="9" t="inlineStr">
        <is>
          <t>Playtest readiness</t>
        </is>
      </c>
      <c r="C14" s="9" t="inlineStr">
        <is>
          <t>Outside players can install, learn and play the slice.</t>
        </is>
      </c>
      <c r="D14" s="9" t="inlineStr">
        <is>
          <t>M6</t>
        </is>
      </c>
      <c r="E14" s="9">
        <f>COUNTIF('User Stories'!$B$5:$B$59,A14)</f>
        <v/>
      </c>
      <c r="F14" s="9">
        <f>COUNTIFS('User Stories'!$B$5:$B$59,A14,'User Stories'!$F$5:$F$59,"Must")</f>
        <v/>
      </c>
      <c r="G14" s="9">
        <f>SUMIF('User Stories'!$B$5:$B$59,A14,'User Stories'!$H$5:$H$59)</f>
        <v/>
      </c>
      <c r="H14" s="9">
        <f>SUMIF('User Stories'!$B$5:$B$59,A14,'User Stories'!$I$5:$I$59)</f>
        <v/>
      </c>
      <c r="I14" s="9">
        <f>COUNTIFS('User Stories'!$B$5:$B$59,A14,'User Stories'!$O$5:$O$59,"Done")</f>
        <v/>
      </c>
      <c r="J14" s="17">
        <f>IFERROR(I14/E14,0)</f>
        <v/>
      </c>
    </row>
    <row r="15">
      <c r="A15" s="7" t="inlineStr">
        <is>
          <t>E10</t>
        </is>
      </c>
      <c r="B15" s="9" t="inlineStr">
        <is>
          <t>Luna physics</t>
        </is>
      </c>
      <c r="C15" s="9" t="inlineStr">
        <is>
          <t>Luna simulates hits, throws and bodies with deterministic 3D physics.</t>
        </is>
      </c>
      <c r="D15" s="9" t="inlineStr">
        <is>
          <t>M1b</t>
        </is>
      </c>
      <c r="E15" s="9">
        <f>COUNTIF('User Stories'!$B$5:$B$59,A15)</f>
        <v/>
      </c>
      <c r="F15" s="9">
        <f>COUNTIFS('User Stories'!$B$5:$B$59,A15,'User Stories'!$F$5:$F$59,"Must")</f>
        <v/>
      </c>
      <c r="G15" s="9">
        <f>SUMIF('User Stories'!$B$5:$B$59,A15,'User Stories'!$H$5:$H$59)</f>
        <v/>
      </c>
      <c r="H15" s="9">
        <f>SUMIF('User Stories'!$B$5:$B$59,A15,'User Stories'!$I$5:$I$59)</f>
        <v/>
      </c>
      <c r="I15" s="9">
        <f>COUNTIFS('User Stories'!$B$5:$B$59,A15,'User Stories'!$O$5:$O$59,"Done")</f>
        <v/>
      </c>
      <c r="J15" s="17">
        <f>IFERROR(I15/E15,0)</f>
        <v/>
      </c>
    </row>
    <row r="16">
      <c r="A16" s="7" t="inlineStr">
        <is>
          <t>E11</t>
        </is>
      </c>
      <c r="B16" s="9" t="inlineStr">
        <is>
          <t>Story engine</t>
        </is>
      </c>
      <c r="C16" s="9" t="inlineStr">
        <is>
          <t>The clan's life becomes a readable story: episodes with causes, people and consequences.</t>
        </is>
      </c>
      <c r="D16" s="9" t="inlineStr">
        <is>
          <t>M2b</t>
        </is>
      </c>
      <c r="E16" s="9">
        <f>COUNTIF('User Stories'!$B$5:$B$59,A16)</f>
        <v/>
      </c>
      <c r="F16" s="9">
        <f>COUNTIFS('User Stories'!$B$5:$B$59,A16,'User Stories'!$F$5:$F$59,"Must")</f>
        <v/>
      </c>
      <c r="G16" s="9">
        <f>SUMIF('User Stories'!$B$5:$B$59,A16,'User Stories'!$H$5:$H$59)</f>
        <v/>
      </c>
      <c r="H16" s="9">
        <f>SUMIF('User Stories'!$B$5:$B$59,A16,'User Stories'!$I$5:$I$59)</f>
        <v/>
      </c>
      <c r="I16" s="9">
        <f>COUNTIFS('User Stories'!$B$5:$B$59,A16,'User Stories'!$O$5:$O$59,"Done")</f>
        <v/>
      </c>
      <c r="J16" s="17">
        <f>IFERROR(I16/E16,0)</f>
        <v/>
      </c>
    </row>
    <row r="17">
      <c r="A17" s="7" t="inlineStr"/>
      <c r="B17" s="7" t="inlineStr">
        <is>
          <t>Total</t>
        </is>
      </c>
      <c r="C17" s="7" t="inlineStr"/>
      <c r="D17" s="7" t="inlineStr"/>
      <c r="E17" s="7">
        <f>SUM(E5:E16)</f>
        <v/>
      </c>
      <c r="F17" s="7">
        <f>SUM(F5:F16)</f>
        <v/>
      </c>
      <c r="G17" s="7">
        <f>SUM(G5:G16)</f>
        <v/>
      </c>
      <c r="H17" s="7">
        <f>SUM(H5:H16)</f>
        <v/>
      </c>
      <c r="I17" s="7">
        <f>SUM(I5:I16)</f>
        <v/>
      </c>
      <c r="J17" s="18">
        <f>IFERROR(I17/E17,0)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6" customWidth="1" min="2" max="2"/>
    <col width="28" customWidth="1" min="3" max="3"/>
    <col width="44" customWidth="1" min="4" max="4"/>
    <col width="70" customWidth="1" min="5" max="5"/>
    <col width="9" customWidth="1" min="6" max="6"/>
    <col width="6" customWidth="1" min="7" max="7"/>
    <col width="8" customWidth="1" min="8" max="8"/>
    <col width="8" customWidth="1" min="9" max="9"/>
    <col width="10" customWidth="1" min="10" max="10"/>
    <col width="18" customWidth="1" min="11" max="11"/>
    <col width="22" customWidth="1" min="12" max="12"/>
    <col width="28" customWidth="1" min="13" max="13"/>
    <col width="22" customWidth="1" min="14" max="14"/>
    <col width="12" customWidth="1" min="15" max="15"/>
  </cols>
  <sheetData>
    <row r="1">
      <c r="A1" s="1" t="inlineStr">
        <is>
          <t>User stories with acceptance criteria</t>
        </is>
      </c>
    </row>
    <row r="2">
      <c r="A2" s="2" t="inlineStr">
        <is>
          <t>Yellow Status column is yours. Weeks come from the size table on Read Me. Gherkin: Given (context), When (action), Then (observable result).</t>
        </is>
      </c>
    </row>
    <row r="4">
      <c r="A4" s="6" t="inlineStr">
        <is>
          <t>ID</t>
        </is>
      </c>
      <c r="B4" s="6" t="inlineStr">
        <is>
          <t>Epic</t>
        </is>
      </c>
      <c r="C4" s="6" t="inlineStr">
        <is>
          <t>Title</t>
        </is>
      </c>
      <c r="D4" s="6" t="inlineStr">
        <is>
          <t>User story</t>
        </is>
      </c>
      <c r="E4" s="6" t="inlineStr">
        <is>
          <t>Acceptance criteria</t>
        </is>
      </c>
      <c r="F4" s="6" t="inlineStr">
        <is>
          <t>Priority</t>
        </is>
      </c>
      <c r="G4" s="6" t="inlineStr">
        <is>
          <t>Size</t>
        </is>
      </c>
      <c r="H4" s="6" t="inlineStr">
        <is>
          <t>Weeks (low)</t>
        </is>
      </c>
      <c r="I4" s="6" t="inlineStr">
        <is>
          <t>Weeks (high)</t>
        </is>
      </c>
      <c r="J4" s="6" t="inlineStr">
        <is>
          <t>Milestone</t>
        </is>
      </c>
      <c r="K4" s="6" t="inlineStr">
        <is>
          <t>Depends on</t>
        </is>
      </c>
      <c r="L4" s="6" t="inlineStr">
        <is>
          <t>Traces to</t>
        </is>
      </c>
      <c r="M4" s="6" t="inlineStr">
        <is>
          <t>C++ you will learn</t>
        </is>
      </c>
      <c r="N4" s="6" t="inlineStr">
        <is>
          <t>Notes</t>
        </is>
      </c>
      <c r="O4" s="6" t="inlineStr">
        <is>
          <t>Status</t>
        </is>
      </c>
    </row>
    <row r="5" ht="186.3" customHeight="1">
      <c r="A5" s="7" t="inlineStr">
        <is>
          <t>US-001</t>
        </is>
      </c>
      <c r="B5" s="9" t="inlineStr">
        <is>
          <t>E0</t>
        </is>
      </c>
      <c r="C5" s="9" t="inlineStr">
        <is>
          <t>Build and debug from a clean checkout</t>
        </is>
      </c>
      <c r="D5" s="9" t="inlineStr">
        <is>
          <t>As a developer, I want to clone the repository and build every target with one CMake preset, so that I can start working in minutes and never fight the build.</t>
        </is>
      </c>
      <c r="E5" s="9" t="inlineStr">
        <is>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is>
      </c>
      <c r="F5" s="9" t="inlineStr">
        <is>
          <t>Must</t>
        </is>
      </c>
      <c r="G5" s="9" t="inlineStr">
        <is>
          <t>S</t>
        </is>
      </c>
      <c r="H5" s="9">
        <f>VLOOKUP(G5,'Read Me'!$A$13:$C$15,2,FALSE)</f>
        <v/>
      </c>
      <c r="I5" s="9">
        <f>VLOOKUP(G5,'Read Me'!$A$13:$C$15,3,FALSE)</f>
        <v/>
      </c>
      <c r="J5" s="9" t="inlineStr">
        <is>
          <t>M0</t>
        </is>
      </c>
      <c r="K5" s="9" t="inlineStr">
        <is>
          <t>D-12</t>
        </is>
      </c>
      <c r="L5" s="9" t="inlineStr">
        <is>
          <t>ADR-001, ADR-012, TEC-04</t>
        </is>
      </c>
      <c r="M5" s="9" t="inlineStr">
        <is>
          <t>What compiler, linker and build system each do; CMake presets</t>
        </is>
      </c>
      <c r="N5" s="9" t="inlineStr"/>
      <c r="O5" s="16" t="inlineStr">
        <is>
          <t>Done</t>
        </is>
      </c>
    </row>
    <row r="6" ht="124.2" customHeight="1">
      <c r="A6" s="7" t="inlineStr">
        <is>
          <t>US-002</t>
        </is>
      </c>
      <c r="B6" s="9" t="inlineStr">
        <is>
          <t>E0</t>
        </is>
      </c>
      <c r="C6" s="9" t="inlineStr">
        <is>
          <t>Run the build and tests on every push</t>
        </is>
      </c>
      <c r="D6" s="9" t="inlineStr">
        <is>
          <t>As a developer, I want GitHub Actions to build and test every push on a Windows runner, so that mistakes are caught automatically, even when I forget to run tests.</t>
        </is>
      </c>
      <c r="E6" s="9" t="inlineStr">
        <is>
          <t>Scenario: Green push
  Given a commit that builds and passes tests
  When I push to GitHub
  Then the CI run succeeds within 15 minutes
Scenario: Broken test
  Given a commit with a failing test
  When I push
  Then the CI run fails and names the failing test</t>
        </is>
      </c>
      <c r="F6" s="9" t="inlineStr">
        <is>
          <t>Must</t>
        </is>
      </c>
      <c r="G6" s="9" t="inlineStr">
        <is>
          <t>S</t>
        </is>
      </c>
      <c r="H6" s="9">
        <f>VLOOKUP(G6,'Read Me'!$A$13:$C$15,2,FALSE)</f>
        <v/>
      </c>
      <c r="I6" s="9">
        <f>VLOOKUP(G6,'Read Me'!$A$13:$C$15,3,FALSE)</f>
        <v/>
      </c>
      <c r="J6" s="9" t="inlineStr">
        <is>
          <t>M0</t>
        </is>
      </c>
      <c r="K6" s="9" t="inlineStr">
        <is>
          <t>US-001, D-12</t>
        </is>
      </c>
      <c r="L6" s="9" t="inlineStr">
        <is>
          <t>ADR-014</t>
        </is>
      </c>
      <c r="M6" s="9" t="inlineStr">
        <is>
          <t>Git basics: commit, branch, push</t>
        </is>
      </c>
      <c r="N6" s="9" t="inlineStr"/>
      <c r="O6" s="16" t="inlineStr">
        <is>
          <t>Done</t>
        </is>
      </c>
    </row>
    <row r="7" ht="124.2" customHeight="1">
      <c r="A7" s="7" t="inlineStr">
        <is>
          <t>US-003</t>
        </is>
      </c>
      <c r="B7" s="9" t="inlineStr">
        <is>
          <t>E0</t>
        </is>
      </c>
      <c r="C7" s="9" t="inlineStr">
        <is>
          <t>Enforce the layer rules in the build</t>
        </is>
      </c>
      <c r="D7" s="9" t="inlineStr">
        <is>
          <t>As a developer, I want the build to reject code that breaks the five-layer rule or pulls game code into Luna, so that the architecture cannot rot by accident.</t>
        </is>
      </c>
      <c r="E7" s="9" t="inlineStr">
        <is>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is>
      </c>
      <c r="F7" s="9" t="inlineStr">
        <is>
          <t>Must</t>
        </is>
      </c>
      <c r="G7" s="9" t="inlineStr">
        <is>
          <t>S</t>
        </is>
      </c>
      <c r="H7" s="9">
        <f>VLOOKUP(G7,'Read Me'!$A$13:$C$15,2,FALSE)</f>
        <v/>
      </c>
      <c r="I7" s="9">
        <f>VLOOKUP(G7,'Read Me'!$A$13:$C$15,3,FALSE)</f>
        <v/>
      </c>
      <c r="J7" s="9" t="inlineStr">
        <is>
          <t>M0</t>
        </is>
      </c>
      <c r="K7" s="9" t="inlineStr">
        <is>
          <t>US-001</t>
        </is>
      </c>
      <c r="L7" s="9" t="inlineStr">
        <is>
          <t>ARC-01, ARC-02, ARC-09, ADR-004</t>
        </is>
      </c>
      <c r="M7" s="9" t="inlineStr">
        <is>
          <t>CMake targets and target_link_libraries</t>
        </is>
      </c>
      <c r="N7" s="9" t="inlineStr"/>
      <c r="O7" s="16" t="inlineStr">
        <is>
          <t>To do</t>
        </is>
      </c>
    </row>
    <row r="8" ht="186.3" customHeight="1">
      <c r="A8" s="7" t="inlineStr">
        <is>
          <t>US-004</t>
        </is>
      </c>
      <c r="B8" s="9" t="inlineStr">
        <is>
          <t>E0</t>
        </is>
      </c>
      <c r="C8" s="9" t="inlineStr">
        <is>
          <t>Log what happens and stop on broken assumptions</t>
        </is>
      </c>
      <c r="D8" s="9" t="inlineStr">
        <is>
          <t>As a developer, I want a logging system and asserts in Core, so that I can see what the game did before a problem.</t>
        </is>
      </c>
      <c r="E8" s="9" t="inlineStr">
        <is>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is>
      </c>
      <c r="F8" s="9" t="inlineStr">
        <is>
          <t>Must</t>
        </is>
      </c>
      <c r="G8" s="9" t="inlineStr">
        <is>
          <t>S</t>
        </is>
      </c>
      <c r="H8" s="9">
        <f>VLOOKUP(G8,'Read Me'!$A$13:$C$15,2,FALSE)</f>
        <v/>
      </c>
      <c r="I8" s="9">
        <f>VLOOKUP(G8,'Read Me'!$A$13:$C$15,3,FALSE)</f>
        <v/>
      </c>
      <c r="J8" s="9" t="inlineStr">
        <is>
          <t>M0</t>
        </is>
      </c>
      <c r="K8" s="9" t="inlineStr">
        <is>
          <t>US-001</t>
        </is>
      </c>
      <c r="L8" s="9" t="inlineStr">
        <is>
          <t>Architecture 7.8</t>
        </is>
      </c>
      <c r="M8" s="9" t="inlineStr">
        <is>
          <t>Header/source files, namespaces, macros</t>
        </is>
      </c>
      <c r="N8" s="9" t="inlineStr"/>
      <c r="O8" s="16" t="inlineStr">
        <is>
          <t>To do</t>
        </is>
      </c>
    </row>
    <row r="9" ht="186.3" customHeight="1">
      <c r="A9" s="7" t="inlineStr">
        <is>
          <t>US-010</t>
        </is>
      </c>
      <c r="B9" s="9" t="inlineStr">
        <is>
          <t>E1</t>
        </is>
      </c>
      <c r="C9" s="9" t="inlineStr">
        <is>
          <t>Advance a seeded world clock</t>
        </is>
      </c>
      <c r="D9" s="9" t="inlineStr">
        <is>
          <t>As a developer, I want the simulation to tick 20 times per second of game time with a calendar of days and seasons, so that everything in the world happens on one reliable clock.</t>
        </is>
      </c>
      <c r="E9" s="9" t="inlineStr">
        <is>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is>
      </c>
      <c r="F9" s="9" t="inlineStr">
        <is>
          <t>Must</t>
        </is>
      </c>
      <c r="G9" s="9" t="inlineStr">
        <is>
          <t>M</t>
        </is>
      </c>
      <c r="H9" s="9">
        <f>VLOOKUP(G9,'Read Me'!$A$13:$C$15,2,FALSE)</f>
        <v/>
      </c>
      <c r="I9" s="9">
        <f>VLOOKUP(G9,'Read Me'!$A$13:$C$15,3,FALSE)</f>
        <v/>
      </c>
      <c r="J9" s="9" t="inlineStr">
        <is>
          <t>M2</t>
        </is>
      </c>
      <c r="K9" s="9" t="inlineStr">
        <is>
          <t>D-01</t>
        </is>
      </c>
      <c r="L9" s="9" t="inlineStr">
        <is>
          <t>ADR-006, ADR-011, ARC-07, MVP-12</t>
        </is>
      </c>
      <c r="M9" s="9" t="inlineStr">
        <is>
          <t>The game loop and accumulator; integers vs floats</t>
        </is>
      </c>
      <c r="N9" s="9" t="inlineStr"/>
      <c r="O9" s="16" t="inlineStr">
        <is>
          <t>To do</t>
        </is>
      </c>
    </row>
    <row r="10" ht="186.3" customHeight="1">
      <c r="A10" s="7" t="inlineStr">
        <is>
          <t>US-011</t>
        </is>
      </c>
      <c r="B10" s="9" t="inlineStr">
        <is>
          <t>E1</t>
        </is>
      </c>
      <c r="C10" s="9" t="inlineStr">
        <is>
          <t>Give every person needs that change over time</t>
        </is>
      </c>
      <c r="D10" s="9" t="inlineStr">
        <is>
          <t>As a player, I want clan members to get hungry, tired, cold and lonely, so that the world feels alive and people have reasons to act.</t>
        </is>
      </c>
      <c r="E10" s="9" t="inlineStr">
        <is>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is>
      </c>
      <c r="F10" s="9" t="inlineStr">
        <is>
          <t>Must</t>
        </is>
      </c>
      <c r="G10" s="9" t="inlineStr">
        <is>
          <t>M</t>
        </is>
      </c>
      <c r="H10" s="9">
        <f>VLOOKUP(G10,'Read Me'!$A$13:$C$15,2,FALSE)</f>
        <v/>
      </c>
      <c r="I10" s="9">
        <f>VLOOKUP(G10,'Read Me'!$A$13:$C$15,3,FALSE)</f>
        <v/>
      </c>
      <c r="J10" s="9" t="inlineStr">
        <is>
          <t>M2</t>
        </is>
      </c>
      <c r="K10" s="9" t="inlineStr">
        <is>
          <t>D-02, D-03</t>
        </is>
      </c>
      <c r="L10" s="9" t="inlineStr">
        <is>
          <t>SDC-01 (candidate), Overview v0.1</t>
        </is>
      </c>
      <c r="M10" s="9" t="inlineStr">
        <is>
          <t>Plain structs as components; std::vector</t>
        </is>
      </c>
      <c r="N10" s="9" t="inlineStr">
        <is>
          <t>Needs set is an assumption until D-03 is confirmed.</t>
        </is>
      </c>
      <c r="O10" s="16" t="inlineStr">
        <is>
          <t>To do</t>
        </is>
      </c>
    </row>
    <row r="11" ht="186.3" customHeight="1">
      <c r="A11" s="7" t="inlineStr">
        <is>
          <t>US-012</t>
        </is>
      </c>
      <c r="B11" s="9" t="inlineStr">
        <is>
          <t>E1</t>
        </is>
      </c>
      <c r="C11" s="9" t="inlineStr">
        <is>
          <t>Let people choose what to do (utility AI)</t>
        </is>
      </c>
      <c r="D11" s="9" t="inlineStr">
        <is>
          <t>As a player, I want each clan member to pick sensible actions based on their needs and skills, so that the clan survives without me micromanaging it.</t>
        </is>
      </c>
      <c r="E11" s="9" t="inlineStr">
        <is>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is>
      </c>
      <c r="F11" s="9" t="inlineStr">
        <is>
          <t>Must</t>
        </is>
      </c>
      <c r="G11" s="9" t="inlineStr">
        <is>
          <t>L</t>
        </is>
      </c>
      <c r="H11" s="9">
        <f>VLOOKUP(G11,'Read Me'!$A$13:$C$15,2,FALSE)</f>
        <v/>
      </c>
      <c r="I11" s="9">
        <f>VLOOKUP(G11,'Read Me'!$A$13:$C$15,3,FALSE)</f>
        <v/>
      </c>
      <c r="J11" s="9" t="inlineStr">
        <is>
          <t>M2</t>
        </is>
      </c>
      <c r="K11" s="9" t="inlineStr">
        <is>
          <t>US-011, D-02</t>
        </is>
      </c>
      <c r="L11" s="9" t="inlineStr">
        <is>
          <t>SDC-01 (candidate utility AI)</t>
        </is>
      </c>
      <c r="M11" s="9" t="inlineStr">
        <is>
          <t>Functions as systems; enums; sorting</t>
        </is>
      </c>
      <c r="N11" s="9" t="inlineStr"/>
      <c r="O11" s="16" t="inlineStr">
        <is>
          <t>To do</t>
        </is>
      </c>
    </row>
    <row r="12" ht="186.3" customHeight="1">
      <c r="A12" s="7" t="inlineStr">
        <is>
          <t>US-013</t>
        </is>
      </c>
      <c r="B12" s="9" t="inlineStr">
        <is>
          <t>E1</t>
        </is>
      </c>
      <c r="C12" s="9" t="inlineStr">
        <is>
          <t>Remember events and spread gossip</t>
        </is>
      </c>
      <c r="D12" s="9" t="inlineStr">
        <is>
          <t>As a player, I want people to remember important events and tell others, so that reputations form and stories travel through the clan.</t>
        </is>
      </c>
      <c r="E12" s="9" t="inlineStr">
        <is>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is>
      </c>
      <c r="F12" s="9" t="inlineStr">
        <is>
          <t>Must</t>
        </is>
      </c>
      <c r="G12" s="9" t="inlineStr">
        <is>
          <t>M</t>
        </is>
      </c>
      <c r="H12" s="9">
        <f>VLOOKUP(G12,'Read Me'!$A$13:$C$15,2,FALSE)</f>
        <v/>
      </c>
      <c r="I12" s="9">
        <f>VLOOKUP(G12,'Read Me'!$A$13:$C$15,3,FALSE)</f>
        <v/>
      </c>
      <c r="J12" s="9" t="inlineStr">
        <is>
          <t>M2</t>
        </is>
      </c>
      <c r="K12" s="9" t="inlineStr">
        <is>
          <t>US-012, D-02</t>
        </is>
      </c>
      <c r="L12" s="9" t="inlineStr">
        <is>
          <t>GD-03 (candidate), SDC-01</t>
        </is>
      </c>
      <c r="M12" s="9" t="inlineStr">
        <is>
          <t>Containers of structs; references</t>
        </is>
      </c>
      <c r="N12" s="9" t="inlineStr"/>
      <c r="O12" s="16" t="inlineStr">
        <is>
          <t>To do</t>
        </is>
      </c>
    </row>
    <row r="13" ht="124.2" customHeight="1">
      <c r="A13" s="7" t="inlineStr">
        <is>
          <t>US-014</t>
        </is>
      </c>
      <c r="B13" s="9" t="inlineStr">
        <is>
          <t>E1</t>
        </is>
      </c>
      <c r="C13" s="9" t="inlineStr">
        <is>
          <t>Write a readable chronicle</t>
        </is>
      </c>
      <c r="D13" s="9" t="inlineStr">
        <is>
          <t>As a player, I want notable events recorded as short sentences, so that I can read the clan's story and share it.</t>
        </is>
      </c>
      <c r="E13" s="9" t="inlineStr">
        <is>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is>
      </c>
      <c r="F13" s="9" t="inlineStr">
        <is>
          <t>Must</t>
        </is>
      </c>
      <c r="G13" s="9" t="inlineStr">
        <is>
          <t>M</t>
        </is>
      </c>
      <c r="H13" s="9">
        <f>VLOOKUP(G13,'Read Me'!$A$13:$C$15,2,FALSE)</f>
        <v/>
      </c>
      <c r="I13" s="9">
        <f>VLOOKUP(G13,'Read Me'!$A$13:$C$15,3,FALSE)</f>
        <v/>
      </c>
      <c r="J13" s="9" t="inlineStr">
        <is>
          <t>M2</t>
        </is>
      </c>
      <c r="K13" s="9" t="inlineStr">
        <is>
          <t>US-013</t>
        </is>
      </c>
      <c r="L13" s="9" t="inlineStr">
        <is>
          <t>NA-02 (candidate tapestry)</t>
        </is>
      </c>
      <c r="M13" s="9" t="inlineStr">
        <is>
          <t>std::string and formatting</t>
        </is>
      </c>
      <c r="N13" s="9" t="inlineStr"/>
      <c r="O13" s="16" t="inlineStr">
        <is>
          <t>To do</t>
        </is>
      </c>
    </row>
    <row r="14" ht="124.2" customHeight="1">
      <c r="A14" s="7" t="inlineStr">
        <is>
          <t>US-015</t>
        </is>
      </c>
      <c r="B14" s="9" t="inlineStr">
        <is>
          <t>E1</t>
        </is>
      </c>
      <c r="C14" s="9" t="inlineStr">
        <is>
          <t>Soak-test the simulation from the command line</t>
        </is>
      </c>
      <c r="D14" s="9" t="inlineStr">
        <is>
          <t>As a developer, I want to run the headless simulation for N years with a seed and get a report, so that I can check stability and balance in seconds.</t>
        </is>
      </c>
      <c r="E14" s="9" t="inlineStr">
        <is>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is>
      </c>
      <c r="F14" s="9" t="inlineStr">
        <is>
          <t>Must</t>
        </is>
      </c>
      <c r="G14" s="9" t="inlineStr">
        <is>
          <t>S</t>
        </is>
      </c>
      <c r="H14" s="9">
        <f>VLOOKUP(G14,'Read Me'!$A$13:$C$15,2,FALSE)</f>
        <v/>
      </c>
      <c r="I14" s="9">
        <f>VLOOKUP(G14,'Read Me'!$A$13:$C$15,3,FALSE)</f>
        <v/>
      </c>
      <c r="J14" s="9" t="inlineStr">
        <is>
          <t>M2</t>
        </is>
      </c>
      <c r="K14" s="9" t="inlineStr">
        <is>
          <t>US-010..US-014</t>
        </is>
      </c>
      <c r="L14" s="9" t="inlineStr">
        <is>
          <t>AQ-01, NFR-03, NFR-04</t>
        </is>
      </c>
      <c r="M14" s="9" t="inlineStr">
        <is>
          <t>main(), command-line arguments</t>
        </is>
      </c>
      <c r="N14" s="9" t="inlineStr"/>
      <c r="O14" s="16" t="inlineStr">
        <is>
          <t>To do</t>
        </is>
      </c>
    </row>
    <row r="15" ht="186.3" customHeight="1">
      <c r="A15" s="7" t="inlineStr">
        <is>
          <t>US-016</t>
        </is>
      </c>
      <c r="B15" s="9" t="inlineStr">
        <is>
          <t>E1</t>
        </is>
      </c>
      <c r="C15" s="9" t="inlineStr">
        <is>
          <t>Save and load the simulation</t>
        </is>
      </c>
      <c r="D15" s="9" t="inlineStr">
        <is>
          <t>As a player, I want to save the world and load it later exactly as it was, so that I never lose my progress.</t>
        </is>
      </c>
      <c r="E15" s="9" t="inlineStr">
        <is>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is>
      </c>
      <c r="F15" s="9" t="inlineStr">
        <is>
          <t>Must</t>
        </is>
      </c>
      <c r="G15" s="9" t="inlineStr">
        <is>
          <t>M</t>
        </is>
      </c>
      <c r="H15" s="9">
        <f>VLOOKUP(G15,'Read Me'!$A$13:$C$15,2,FALSE)</f>
        <v/>
      </c>
      <c r="I15" s="9">
        <f>VLOOKUP(G15,'Read Me'!$A$13:$C$15,3,FALSE)</f>
        <v/>
      </c>
      <c r="J15" s="9" t="inlineStr">
        <is>
          <t>M2</t>
        </is>
      </c>
      <c r="K15" s="9" t="inlineStr">
        <is>
          <t>US-010, D-13</t>
        </is>
      </c>
      <c r="L15" s="9" t="inlineStr">
        <is>
          <t>ADR-010, NFR-05</t>
        </is>
      </c>
      <c r="M15" s="9" t="inlineStr">
        <is>
          <t>File I/O, JSON, error handling</t>
        </is>
      </c>
      <c r="N15" s="9" t="inlineStr"/>
      <c r="O15" s="16" t="inlineStr">
        <is>
          <t>To do</t>
        </is>
      </c>
    </row>
    <row r="16" ht="186.3" customHeight="1">
      <c r="A16" s="7" t="inlineStr">
        <is>
          <t>US-020</t>
        </is>
      </c>
      <c r="B16" s="9" t="inlineStr">
        <is>
          <t>E2</t>
        </is>
      </c>
      <c r="C16" s="9" t="inlineStr">
        <is>
          <t>Open a window with a steady game loop</t>
        </is>
      </c>
      <c r="D16" s="9" t="inlineStr">
        <is>
          <t>As a player, I want the game to open a window that runs smoothly and closes cleanly, so that the game feels solid from the first second.</t>
        </is>
      </c>
      <c r="E16" s="9" t="inlineStr">
        <is>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is>
      </c>
      <c r="F16" s="9" t="inlineStr">
        <is>
          <t>Must</t>
        </is>
      </c>
      <c r="G16" s="9" t="inlineStr">
        <is>
          <t>M</t>
        </is>
      </c>
      <c r="H16" s="9">
        <f>VLOOKUP(G16,'Read Me'!$A$13:$C$15,2,FALSE)</f>
        <v/>
      </c>
      <c r="I16" s="9">
        <f>VLOOKUP(G16,'Read Me'!$A$13:$C$15,3,FALSE)</f>
        <v/>
      </c>
      <c r="J16" s="9" t="inlineStr">
        <is>
          <t>M1</t>
        </is>
      </c>
      <c r="K16" s="9" t="inlineStr">
        <is>
          <t>US-001, D-13</t>
        </is>
      </c>
      <c r="L16" s="9" t="inlineStr">
        <is>
          <t>ADR-002, ADR-006, TEC-05</t>
        </is>
      </c>
      <c r="M16" s="9" t="inlineStr">
        <is>
          <t>RAII wrapper around SDL_Window; unique_ptr with a custom deleter</t>
        </is>
      </c>
      <c r="N16" s="9" t="inlineStr"/>
      <c r="O16" s="16" t="inlineStr">
        <is>
          <t>To do</t>
        </is>
      </c>
    </row>
    <row r="17" ht="186.3" customHeight="1">
      <c r="A17" s="7" t="inlineStr">
        <is>
          <t>US-021</t>
        </is>
      </c>
      <c r="B17" s="9" t="inlineStr">
        <is>
          <t>E2</t>
        </is>
      </c>
      <c r="C17" s="9" t="inlineStr">
        <is>
          <t>Control the game through intents</t>
        </is>
      </c>
      <c r="D17" s="9" t="inlineStr">
        <is>
          <t>As a player, I want keyboard, mouse and gamepad to control the same actions, so that I can play the way I like, and touch can be added later.</t>
        </is>
      </c>
      <c r="E17" s="9" t="inlineStr">
        <is>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is>
      </c>
      <c r="F17" s="9" t="inlineStr">
        <is>
          <t>Must</t>
        </is>
      </c>
      <c r="G17" s="9" t="inlineStr">
        <is>
          <t>S</t>
        </is>
      </c>
      <c r="H17" s="9">
        <f>VLOOKUP(G17,'Read Me'!$A$13:$C$15,2,FALSE)</f>
        <v/>
      </c>
      <c r="I17" s="9">
        <f>VLOOKUP(G17,'Read Me'!$A$13:$C$15,3,FALSE)</f>
        <v/>
      </c>
      <c r="J17" s="9" t="inlineStr">
        <is>
          <t>M1</t>
        </is>
      </c>
      <c r="K17" s="9" t="inlineStr">
        <is>
          <t>US-020</t>
        </is>
      </c>
      <c r="L17" s="9" t="inlineStr">
        <is>
          <t>ARC-03</t>
        </is>
      </c>
      <c r="M17" s="9" t="inlineStr">
        <is>
          <t>Enums, mapping tables, std::unordered_map</t>
        </is>
      </c>
      <c r="N17" s="9" t="inlineStr"/>
      <c r="O17" s="16" t="inlineStr">
        <is>
          <t>To do</t>
        </is>
      </c>
    </row>
    <row r="18" ht="124.2" customHeight="1">
      <c r="A18" s="7" t="inlineStr">
        <is>
          <t>US-022</t>
        </is>
      </c>
      <c r="B18" s="9" t="inlineStr">
        <is>
          <t>E2</t>
        </is>
      </c>
      <c r="C18" s="9" t="inlineStr">
        <is>
          <t>Draw sprites with crisp pixels</t>
        </is>
      </c>
      <c r="D18" s="9" t="inlineStr">
        <is>
          <t>As a player, I want pixel art to stay sharp at every window size, so that the game looks right on any screen.</t>
        </is>
      </c>
      <c r="E18" s="9" t="inlineStr">
        <is>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is>
      </c>
      <c r="F18" s="9" t="inlineStr">
        <is>
          <t>Must</t>
        </is>
      </c>
      <c r="G18" s="9" t="inlineStr">
        <is>
          <t>M</t>
        </is>
      </c>
      <c r="H18" s="9">
        <f>VLOOKUP(G18,'Read Me'!$A$13:$C$15,2,FALSE)</f>
        <v/>
      </c>
      <c r="I18" s="9">
        <f>VLOOKUP(G18,'Read Me'!$A$13:$C$15,3,FALSE)</f>
        <v/>
      </c>
      <c r="J18" s="9" t="inlineStr">
        <is>
          <t>M1</t>
        </is>
      </c>
      <c r="K18" s="9" t="inlineStr">
        <is>
          <t>US-020, D-04</t>
        </is>
      </c>
      <c r="L18" s="9" t="inlineStr">
        <is>
          <t>ENV-11, ADR-003</t>
        </is>
      </c>
      <c r="M18" s="9" t="inlineStr">
        <is>
          <t>Interfaces with virtual functions (Renderer)</t>
        </is>
      </c>
      <c r="N18" s="9" t="inlineStr"/>
      <c r="O18" s="16" t="inlineStr">
        <is>
          <t>To do</t>
        </is>
      </c>
    </row>
    <row r="19" ht="124.2" customHeight="1">
      <c r="A19" s="7" t="inlineStr">
        <is>
          <t>US-023</t>
        </is>
      </c>
      <c r="B19" s="9" t="inlineStr">
        <is>
          <t>E2</t>
        </is>
      </c>
      <c r="C19" s="9" t="inlineStr">
        <is>
          <t>Show a tile map with a following camera</t>
        </is>
      </c>
      <c r="D19" s="9" t="inlineStr">
        <is>
          <t>As a player, I want to see the world around my character, with the camera following me, so that I always know where I am.</t>
        </is>
      </c>
      <c r="E19" s="9" t="inlineStr">
        <is>
          <t>Scenario: Draw
  Given a 64 x 64 test map
  When the game runs
  Then tiles within the camera view are drawn and tiles outside are skipped
Scenario: Follow
  Given the character near the map centre
  When it moves
  Then the camera follows smoothly and stops at the map edges</t>
        </is>
      </c>
      <c r="F19" s="9" t="inlineStr">
        <is>
          <t>Must</t>
        </is>
      </c>
      <c r="G19" s="9" t="inlineStr">
        <is>
          <t>M</t>
        </is>
      </c>
      <c r="H19" s="9">
        <f>VLOOKUP(G19,'Read Me'!$A$13:$C$15,2,FALSE)</f>
        <v/>
      </c>
      <c r="I19" s="9">
        <f>VLOOKUP(G19,'Read Me'!$A$13:$C$15,3,FALSE)</f>
        <v/>
      </c>
      <c r="J19" s="9" t="inlineStr">
        <is>
          <t>M1</t>
        </is>
      </c>
      <c r="K19" s="9" t="inlineStr">
        <is>
          <t>US-022</t>
        </is>
      </c>
      <c r="L19" s="9" t="inlineStr">
        <is>
          <t>Architecture 7.4</t>
        </is>
      </c>
      <c r="M19" s="9" t="inlineStr">
        <is>
          <t>2D grids stored in a 1D vector</t>
        </is>
      </c>
      <c r="N19" s="9" t="inlineStr"/>
      <c r="O19" s="16" t="inlineStr">
        <is>
          <t>To do</t>
        </is>
      </c>
    </row>
    <row r="20" ht="186.3" customHeight="1">
      <c r="A20" s="7" t="inlineStr">
        <is>
          <t>US-024</t>
        </is>
      </c>
      <c r="B20" s="9" t="inlineStr">
        <is>
          <t>E2</t>
        </is>
      </c>
      <c r="C20" s="9" t="inlineStr">
        <is>
          <t>Walk the character around the map</t>
        </is>
      </c>
      <c r="D20" s="9" t="inlineStr">
        <is>
          <t>As a player, I want to move my character in four directions with animation, so that I feel in control of a person in the world.</t>
        </is>
      </c>
      <c r="E20" s="9" t="inlineStr">
        <is>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is>
      </c>
      <c r="F20" s="9" t="inlineStr">
        <is>
          <t>Must</t>
        </is>
      </c>
      <c r="G20" s="9" t="inlineStr">
        <is>
          <t>M</t>
        </is>
      </c>
      <c r="H20" s="9">
        <f>VLOOKUP(G20,'Read Me'!$A$13:$C$15,2,FALSE)</f>
        <v/>
      </c>
      <c r="I20" s="9">
        <f>VLOOKUP(G20,'Read Me'!$A$13:$C$15,3,FALSE)</f>
        <v/>
      </c>
      <c r="J20" s="9" t="inlineStr">
        <is>
          <t>M1</t>
        </is>
      </c>
      <c r="K20" s="9" t="inlineStr">
        <is>
          <t>US-021, US-023, D-04</t>
        </is>
      </c>
      <c r="L20" s="9" t="inlineStr">
        <is>
          <t>ENV-11</t>
        </is>
      </c>
      <c r="M20" s="9" t="inlineStr">
        <is>
          <t>State machines; simple collision</t>
        </is>
      </c>
      <c r="N20" s="9" t="inlineStr"/>
      <c r="O20" s="16" t="inlineStr">
        <is>
          <t>To do</t>
        </is>
      </c>
    </row>
    <row r="21" ht="186.3" customHeight="1">
      <c r="A21" s="7" t="inlineStr">
        <is>
          <t>US-030</t>
        </is>
      </c>
      <c r="B21" s="9" t="inlineStr">
        <is>
          <t>E3</t>
        </is>
      </c>
      <c r="C21" s="9" t="inlineStr">
        <is>
          <t>Compose characters from layers</t>
        </is>
      </c>
      <c r="D21" s="9" t="inlineStr">
        <is>
          <t>As a player, I want characters built from body, hair, outfit and held-item layers with colour variants, so that every person looks different and outfits can grow with progression.</t>
        </is>
      </c>
      <c r="E21" s="9" t="inlineStr">
        <is>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is>
      </c>
      <c r="F21" s="9" t="inlineStr">
        <is>
          <t>Must</t>
        </is>
      </c>
      <c r="G21" s="9" t="inlineStr">
        <is>
          <t>M</t>
        </is>
      </c>
      <c r="H21" s="9">
        <f>VLOOKUP(G21,'Read Me'!$A$13:$C$15,2,FALSE)</f>
        <v/>
      </c>
      <c r="I21" s="9">
        <f>VLOOKUP(G21,'Read Me'!$A$13:$C$15,3,FALSE)</f>
        <v/>
      </c>
      <c r="J21" s="9" t="inlineStr">
        <is>
          <t>M3</t>
        </is>
      </c>
      <c r="K21" s="9" t="inlineStr">
        <is>
          <t>US-024, D-04, D-05</t>
        </is>
      </c>
      <c r="L21" s="9" t="inlineStr">
        <is>
          <t>ENV-12, MVP-11</t>
        </is>
      </c>
      <c r="M21" s="9" t="inlineStr">
        <is>
          <t>Composition over inheritance</t>
        </is>
      </c>
      <c r="N21" s="9" t="inlineStr"/>
      <c r="O21" s="16" t="inlineStr">
        <is>
          <t>To do</t>
        </is>
      </c>
    </row>
    <row r="22" ht="124.2" customHeight="1">
      <c r="A22" s="7" t="inlineStr">
        <is>
          <t>US-031</t>
        </is>
      </c>
      <c r="B22" s="9" t="inlineStr">
        <is>
          <t>E3</t>
        </is>
      </c>
      <c r="C22" s="9" t="inlineStr">
        <is>
          <t>Read people's state at a glance</t>
        </is>
      </c>
      <c r="D22" s="9" t="inlineStr">
        <is>
          <t>As a player, I want to see how people feel from their posture and small emote icons, so that I understand the clan without opening menus.</t>
        </is>
      </c>
      <c r="E22" s="9" t="inlineStr">
        <is>
          <t>Scenario: Emote
  Given a person whose Warmth is critical
  When they are on screen
  Then a shiver animation or cold emote is visible
Scenario: Details on demand
  Given any person
  When I hover or click them
  Then a panel shows exact need values and current action</t>
        </is>
      </c>
      <c r="F22" s="9" t="inlineStr">
        <is>
          <t>Should</t>
        </is>
      </c>
      <c r="G22" s="9" t="inlineStr">
        <is>
          <t>S</t>
        </is>
      </c>
      <c r="H22" s="9">
        <f>VLOOKUP(G22,'Read Me'!$A$13:$C$15,2,FALSE)</f>
        <v/>
      </c>
      <c r="I22" s="9">
        <f>VLOOKUP(G22,'Read Me'!$A$13:$C$15,3,FALSE)</f>
        <v/>
      </c>
      <c r="J22" s="9" t="inlineStr">
        <is>
          <t>M3</t>
        </is>
      </c>
      <c r="K22" s="9" t="inlineStr">
        <is>
          <t>US-032, US-011</t>
        </is>
      </c>
      <c r="L22" s="9" t="inlineStr">
        <is>
          <t>UX-01 (candidate)</t>
        </is>
      </c>
      <c r="M22" s="9" t="inlineStr">
        <is>
          <t>Mapping data to presentation</t>
        </is>
      </c>
      <c r="N22" s="9" t="inlineStr"/>
      <c r="O22" s="16" t="inlineStr">
        <is>
          <t>To do</t>
        </is>
      </c>
    </row>
    <row r="23" ht="186.3" customHeight="1">
      <c r="A23" s="7" t="inlineStr">
        <is>
          <t>US-032</t>
        </is>
      </c>
      <c r="B23" s="9" t="inlineStr">
        <is>
          <t>E3</t>
        </is>
      </c>
      <c r="C23" s="9" t="inlineStr">
        <is>
          <t>See the simulated clan on screen</t>
        </is>
      </c>
      <c r="D23" s="9" t="inlineStr">
        <is>
          <t>As a player, I want clan members from the simulation to appear and act in the world, so that I watch the clan live its life.</t>
        </is>
      </c>
      <c r="E23" s="9" t="inlineStr">
        <is>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is>
      </c>
      <c r="F23" s="9" t="inlineStr">
        <is>
          <t>Must</t>
        </is>
      </c>
      <c r="G23" s="9" t="inlineStr">
        <is>
          <t>L</t>
        </is>
      </c>
      <c r="H23" s="9">
        <f>VLOOKUP(G23,'Read Me'!$A$13:$C$15,2,FALSE)</f>
        <v/>
      </c>
      <c r="I23" s="9">
        <f>VLOOKUP(G23,'Read Me'!$A$13:$C$15,3,FALSE)</f>
        <v/>
      </c>
      <c r="J23" s="9" t="inlineStr">
        <is>
          <t>M3</t>
        </is>
      </c>
      <c r="K23" s="9" t="inlineStr">
        <is>
          <t>US-012, US-024</t>
        </is>
      </c>
      <c r="L23" s="9" t="inlineStr">
        <is>
          <t>ADR-004, ADR-005, ARC-05</t>
        </is>
      </c>
      <c r="M23" s="9" t="inlineStr">
        <is>
          <t>EnTT registry and views; interpolation</t>
        </is>
      </c>
      <c r="N23" s="9" t="inlineStr"/>
      <c r="O23" s="16" t="inlineStr">
        <is>
          <t>To do</t>
        </is>
      </c>
    </row>
    <row r="24" ht="186.3" customHeight="1">
      <c r="A24" s="7" t="inlineStr">
        <is>
          <t>US-040</t>
        </is>
      </c>
      <c r="B24" s="9" t="inlineStr">
        <is>
          <t>E4</t>
        </is>
      </c>
      <c r="C24" s="9" t="inlineStr">
        <is>
          <t>Generate a region from a seed</t>
        </is>
      </c>
      <c r="D24" s="9" t="inlineStr">
        <is>
          <t>As a player, I want each new game to create a different region with steppe, forest, river and caves, so that every playthrough feels new.</t>
        </is>
      </c>
      <c r="E24" s="9" t="inlineStr">
        <is>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is>
      </c>
      <c r="F24" s="9" t="inlineStr">
        <is>
          <t>Must</t>
        </is>
      </c>
      <c r="G24" s="9" t="inlineStr">
        <is>
          <t>L</t>
        </is>
      </c>
      <c r="H24" s="9">
        <f>VLOOKUP(G24,'Read Me'!$A$13:$C$15,2,FALSE)</f>
        <v/>
      </c>
      <c r="I24" s="9">
        <f>VLOOKUP(G24,'Read Me'!$A$13:$C$15,3,FALSE)</f>
        <v/>
      </c>
      <c r="J24" s="9" t="inlineStr">
        <is>
          <t>M4</t>
        </is>
      </c>
      <c r="K24" s="9" t="inlineStr">
        <is>
          <t>US-023, D-13</t>
        </is>
      </c>
      <c r="L24" s="9" t="inlineStr">
        <is>
          <t>ENV-03, ARC-06, ADR-009, MVP-03</t>
        </is>
      </c>
      <c r="M24" s="9" t="inlineStr">
        <is>
          <t>Noise functions; seeded random numbers</t>
        </is>
      </c>
      <c r="N24" s="9" t="inlineStr"/>
      <c r="O24" s="16" t="inlineStr">
        <is>
          <t>To do</t>
        </is>
      </c>
    </row>
    <row r="25" ht="124.2" customHeight="1">
      <c r="A25" s="7" t="inlineStr">
        <is>
          <t>US-041</t>
        </is>
      </c>
      <c r="B25" s="9" t="inlineStr">
        <is>
          <t>E4</t>
        </is>
      </c>
      <c r="C25" s="9" t="inlineStr">
        <is>
          <t>Place resources by biome</t>
        </is>
      </c>
      <c r="D25" s="9" t="inlineStr">
        <is>
          <t>As a player, I want flint, wood, berries and animals placed where they make sense, so that exploring the land matters.</t>
        </is>
      </c>
      <c r="E25" s="9" t="inlineStr">
        <is>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is>
      </c>
      <c r="F25" s="9" t="inlineStr">
        <is>
          <t>Must</t>
        </is>
      </c>
      <c r="G25" s="9" t="inlineStr">
        <is>
          <t>M</t>
        </is>
      </c>
      <c r="H25" s="9">
        <f>VLOOKUP(G25,'Read Me'!$A$13:$C$15,2,FALSE)</f>
        <v/>
      </c>
      <c r="I25" s="9">
        <f>VLOOKUP(G25,'Read Me'!$A$13:$C$15,3,FALSE)</f>
        <v/>
      </c>
      <c r="J25" s="9" t="inlineStr">
        <is>
          <t>M4</t>
        </is>
      </c>
      <c r="K25" s="9" t="inlineStr">
        <is>
          <t>US-040</t>
        </is>
      </c>
      <c r="L25" s="9" t="inlineStr">
        <is>
          <t>Overview v0.1 (materials)</t>
        </is>
      </c>
      <c r="M25" s="9" t="inlineStr">
        <is>
          <t>Data tables from JSON</t>
        </is>
      </c>
      <c r="N25" s="9" t="inlineStr"/>
      <c r="O25" s="16" t="inlineStr">
        <is>
          <t>To do</t>
        </is>
      </c>
    </row>
    <row r="26" ht="186.3" customHeight="1">
      <c r="A26" s="7" t="inlineStr">
        <is>
          <t>US-042</t>
        </is>
      </c>
      <c r="B26" s="9" t="inlineStr">
        <is>
          <t>E4</t>
        </is>
      </c>
      <c r="C26" s="9" t="inlineStr">
        <is>
          <t>Spawn rival clans</t>
        </is>
      </c>
      <c r="D26" s="9" t="inlineStr">
        <is>
          <t>As a player, I want two AI clans living elsewhere in the region, so that there are others to trade with, convert, or compete against.</t>
        </is>
      </c>
      <c r="E26" s="9" t="inlineStr">
        <is>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is>
      </c>
      <c r="F26" s="9" t="inlineStr">
        <is>
          <t>Must</t>
        </is>
      </c>
      <c r="G26" s="9" t="inlineStr">
        <is>
          <t>M</t>
        </is>
      </c>
      <c r="H26" s="9">
        <f>VLOOKUP(G26,'Read Me'!$A$13:$C$15,2,FALSE)</f>
        <v/>
      </c>
      <c r="I26" s="9">
        <f>VLOOKUP(G26,'Read Me'!$A$13:$C$15,3,FALSE)</f>
        <v/>
      </c>
      <c r="J26" s="9" t="inlineStr">
        <is>
          <t>M4</t>
        </is>
      </c>
      <c r="K26" s="9" t="inlineStr">
        <is>
          <t>US-040, US-012</t>
        </is>
      </c>
      <c r="L26" s="9" t="inlineStr">
        <is>
          <t>ARC-05, MVP-10</t>
        </is>
      </c>
      <c r="M26" s="9" t="inlineStr">
        <is>
          <t>Reusing systems for different data</t>
        </is>
      </c>
      <c r="N26" s="9" t="inlineStr"/>
      <c r="O26" s="16" t="inlineStr">
        <is>
          <t>To do</t>
        </is>
      </c>
    </row>
    <row r="27" ht="124.2" customHeight="1">
      <c r="A27" s="7" t="inlineStr">
        <is>
          <t>US-043</t>
        </is>
      </c>
      <c r="B27" s="9" t="inlineStr">
        <is>
          <t>E4</t>
        </is>
      </c>
      <c r="C27" s="9" t="inlineStr">
        <is>
          <t>Stream chunks and save only changes</t>
        </is>
      </c>
      <c r="D27" s="9" t="inlineStr">
        <is>
          <t>As a developer, I want the region stored as a seed plus changed chunks, so that saves stay small and loading is fast.</t>
        </is>
      </c>
      <c r="E27" s="9" t="inlineStr">
        <is>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is>
      </c>
      <c r="F27" s="9" t="inlineStr">
        <is>
          <t>Should</t>
        </is>
      </c>
      <c r="G27" s="9" t="inlineStr">
        <is>
          <t>M</t>
        </is>
      </c>
      <c r="H27" s="9">
        <f>VLOOKUP(G27,'Read Me'!$A$13:$C$15,2,FALSE)</f>
        <v/>
      </c>
      <c r="I27" s="9">
        <f>VLOOKUP(G27,'Read Me'!$A$13:$C$15,3,FALSE)</f>
        <v/>
      </c>
      <c r="J27" s="9" t="inlineStr">
        <is>
          <t>M4</t>
        </is>
      </c>
      <c r="K27" s="9" t="inlineStr">
        <is>
          <t>US-040, US-016</t>
        </is>
      </c>
      <c r="L27" s="9" t="inlineStr">
        <is>
          <t>ARC-06, ADR-009</t>
        </is>
      </c>
      <c r="M27" s="9" t="inlineStr">
        <is>
          <t>Hashing chunk coordinates</t>
        </is>
      </c>
      <c r="N27" s="9" t="inlineStr"/>
      <c r="O27" s="16" t="inlineStr">
        <is>
          <t>To do</t>
        </is>
      </c>
    </row>
    <row r="28" ht="186.3" customHeight="1">
      <c r="A28" s="7" t="inlineStr">
        <is>
          <t>US-050</t>
        </is>
      </c>
      <c r="B28" s="9" t="inlineStr">
        <is>
          <t>E5</t>
        </is>
      </c>
      <c r="C28" s="9" t="inlineStr">
        <is>
          <t>Start a new game</t>
        </is>
      </c>
      <c r="D28" s="9" t="inlineStr">
        <is>
          <t>As a player, I want to choose a seed, a Growing Period preset and a Comfort level before starting, so that I can shape the kind of game I want.</t>
        </is>
      </c>
      <c r="E28" s="9" t="inlineStr">
        <is>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is>
      </c>
      <c r="F28" s="9" t="inlineStr">
        <is>
          <t>Must</t>
        </is>
      </c>
      <c r="G28" s="9" t="inlineStr">
        <is>
          <t>M</t>
        </is>
      </c>
      <c r="H28" s="9">
        <f>VLOOKUP(G28,'Read Me'!$A$13:$C$15,2,FALSE)</f>
        <v/>
      </c>
      <c r="I28" s="9">
        <f>VLOOKUP(G28,'Read Me'!$A$13:$C$15,3,FALSE)</f>
        <v/>
      </c>
      <c r="J28" s="9" t="inlineStr">
        <is>
          <t>M5</t>
        </is>
      </c>
      <c r="K28" s="9" t="inlineStr">
        <is>
          <t>US-040, D-07</t>
        </is>
      </c>
      <c r="L28" s="9" t="inlineStr">
        <is>
          <t>CHR-03, CHR-06, ENV-07, MVP-05</t>
        </is>
      </c>
      <c r="M28" s="9" t="inlineStr">
        <is>
          <t>UI state and screens</t>
        </is>
      </c>
      <c r="N28" s="9" t="inlineStr"/>
      <c r="O28" s="16" t="inlineStr">
        <is>
          <t>To do</t>
        </is>
      </c>
    </row>
    <row r="29" ht="124.2" customHeight="1">
      <c r="A29" s="7" t="inlineStr">
        <is>
          <t>US-051</t>
        </is>
      </c>
      <c r="B29" s="9" t="inlineStr">
        <is>
          <t>E5</t>
        </is>
      </c>
      <c r="C29" s="9" t="inlineStr">
        <is>
          <t>Choose how to spend each year of youth</t>
        </is>
      </c>
      <c r="D29" s="9" t="inlineStr">
        <is>
          <t>As a player, I want to pick Focus activities each in-game year, so that I decide what kind of person my hero becomes.</t>
        </is>
      </c>
      <c r="E29" s="9" t="inlineStr">
        <is>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is>
      </c>
      <c r="F29" s="9" t="inlineStr">
        <is>
          <t>Must</t>
        </is>
      </c>
      <c r="G29" s="9" t="inlineStr">
        <is>
          <t>M</t>
        </is>
      </c>
      <c r="H29" s="9">
        <f>VLOOKUP(G29,'Read Me'!$A$13:$C$15,2,FALSE)</f>
        <v/>
      </c>
      <c r="I29" s="9">
        <f>VLOOKUP(G29,'Read Me'!$A$13:$C$15,3,FALSE)</f>
        <v/>
      </c>
      <c r="J29" s="9" t="inlineStr">
        <is>
          <t>M5</t>
        </is>
      </c>
      <c r="K29" s="9" t="inlineStr">
        <is>
          <t>US-050, US-053</t>
        </is>
      </c>
      <c r="L29" s="9" t="inlineStr">
        <is>
          <t>CHR-05, Growing Period sheet</t>
        </is>
      </c>
      <c r="M29" s="9" t="inlineStr">
        <is>
          <t>Data-driven choices</t>
        </is>
      </c>
      <c r="N29" s="9" t="inlineStr"/>
      <c r="O29" s="16" t="inlineStr">
        <is>
          <t>To do</t>
        </is>
      </c>
    </row>
    <row r="30" ht="186.3" customHeight="1">
      <c r="A30" s="7" t="inlineStr">
        <is>
          <t>US-052</t>
        </is>
      </c>
      <c r="B30" s="9" t="inlineStr">
        <is>
          <t>E5</t>
        </is>
      </c>
      <c r="C30" s="9" t="inlineStr">
        <is>
          <t>Face Crossroads events</t>
        </is>
      </c>
      <c r="D30" s="9" t="inlineStr">
        <is>
          <t>As a player, I want story decisions with lasting consequences during youth, so that my choices feel meaningful.</t>
        </is>
      </c>
      <c r="E30" s="9" t="inlineStr">
        <is>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is>
      </c>
      <c r="F30" s="9" t="inlineStr">
        <is>
          <t>Must</t>
        </is>
      </c>
      <c r="G30" s="9" t="inlineStr">
        <is>
          <t>L</t>
        </is>
      </c>
      <c r="H30" s="9">
        <f>VLOOKUP(G30,'Read Me'!$A$13:$C$15,2,FALSE)</f>
        <v/>
      </c>
      <c r="I30" s="9">
        <f>VLOOKUP(G30,'Read Me'!$A$13:$C$15,3,FALSE)</f>
        <v/>
      </c>
      <c r="J30" s="9" t="inlineStr">
        <is>
          <t>M5</t>
        </is>
      </c>
      <c r="K30" s="9" t="inlineStr">
        <is>
          <t>US-051, D-11</t>
        </is>
      </c>
      <c r="L30" s="9" t="inlineStr">
        <is>
          <t>CHR-05, NA-03 (candidate)</t>
        </is>
      </c>
      <c r="M30" s="9" t="inlineStr">
        <is>
          <t>Loading and validating content from JSON</t>
        </is>
      </c>
      <c r="N30" s="9" t="inlineStr"/>
      <c r="O30" s="16" t="inlineStr">
        <is>
          <t>To do</t>
        </is>
      </c>
    </row>
    <row r="31" ht="186.3" customHeight="1">
      <c r="A31" s="7" t="inlineStr">
        <is>
          <t>US-053</t>
        </is>
      </c>
      <c r="B31" s="9" t="inlineStr">
        <is>
          <t>E5</t>
        </is>
      </c>
      <c r="C31" s="9" t="inlineStr">
        <is>
          <t>Weight choices by age (imprint curve)</t>
        </is>
      </c>
      <c r="D31" s="9" t="inlineStr">
        <is>
          <t>As a developer, I want Path Affinity gains multiplied by the imprint curve, so that early choices shape the hero most, as designed.</t>
        </is>
      </c>
      <c r="E31" s="9" t="inlineStr">
        <is>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is>
      </c>
      <c r="F31" s="9" t="inlineStr">
        <is>
          <t>Must</t>
        </is>
      </c>
      <c r="G31" s="9" t="inlineStr">
        <is>
          <t>S</t>
        </is>
      </c>
      <c r="H31" s="9">
        <f>VLOOKUP(G31,'Read Me'!$A$13:$C$15,2,FALSE)</f>
        <v/>
      </c>
      <c r="I31" s="9">
        <f>VLOOKUP(G31,'Read Me'!$A$13:$C$15,3,FALSE)</f>
        <v/>
      </c>
      <c r="J31" s="9" t="inlineStr">
        <is>
          <t>M5</t>
        </is>
      </c>
      <c r="K31" s="9" t="inlineStr">
        <is>
          <t>US-050</t>
        </is>
      </c>
      <c r="L31" s="9" t="inlineStr">
        <is>
          <t>CHR-05, CHR-06, ARC-08</t>
        </is>
      </c>
      <c r="M31" s="9" t="inlineStr">
        <is>
          <t>Pure functions and unit tests</t>
        </is>
      </c>
      <c r="N31" s="9" t="inlineStr"/>
      <c r="O31" s="16" t="inlineStr">
        <is>
          <t>To do</t>
        </is>
      </c>
    </row>
    <row r="32" ht="124.2" customHeight="1">
      <c r="A32" s="7" t="inlineStr">
        <is>
          <t>US-054</t>
        </is>
      </c>
      <c r="B32" s="9" t="inlineStr">
        <is>
          <t>E5</t>
        </is>
      </c>
      <c r="C32" s="9" t="inlineStr">
        <is>
          <t>Reveal the specialty at the Mantle moment</t>
        </is>
      </c>
      <c r="D32" s="9" t="inlineStr">
        <is>
          <t>As a player, I want my hero's specialty revealed at 26, so that I see the result of my youth.</t>
        </is>
      </c>
      <c r="E32" s="9" t="inlineStr">
        <is>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is>
      </c>
      <c r="F32" s="9" t="inlineStr">
        <is>
          <t>Must</t>
        </is>
      </c>
      <c r="G32" s="9" t="inlineStr">
        <is>
          <t>S</t>
        </is>
      </c>
      <c r="H32" s="9">
        <f>VLOOKUP(G32,'Read Me'!$A$13:$C$15,2,FALSE)</f>
        <v/>
      </c>
      <c r="I32" s="9">
        <f>VLOOKUP(G32,'Read Me'!$A$13:$C$15,3,FALSE)</f>
        <v/>
      </c>
      <c r="J32" s="9" t="inlineStr">
        <is>
          <t>M5</t>
        </is>
      </c>
      <c r="K32" s="9" t="inlineStr">
        <is>
          <t>US-053</t>
        </is>
      </c>
      <c r="L32" s="9" t="inlineStr">
        <is>
          <t>CHR-04, CHR-05</t>
        </is>
      </c>
      <c r="M32" s="9" t="inlineStr">
        <is>
          <t>Sorting and ties</t>
        </is>
      </c>
      <c r="N32" s="9" t="inlineStr"/>
      <c r="O32" s="16" t="inlineStr">
        <is>
          <t>To do</t>
        </is>
      </c>
    </row>
    <row r="33" ht="186.3" customHeight="1">
      <c r="A33" s="7" t="inlineStr">
        <is>
          <t>US-055</t>
        </is>
      </c>
      <c r="B33" s="9" t="inlineStr">
        <is>
          <t>E5</t>
        </is>
      </c>
      <c r="C33" s="9" t="inlineStr">
        <is>
          <t>Age, die, and end the run</t>
        </is>
      </c>
      <c r="D33" s="9" t="inlineStr">
        <is>
          <t>As a player, I want my hero to age and eventually die, ending the run with a summary, so that every life has an arc and an ending.</t>
        </is>
      </c>
      <c r="E33" s="9" t="inlineStr">
        <is>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is>
      </c>
      <c r="F33" s="9" t="inlineStr">
        <is>
          <t>Must</t>
        </is>
      </c>
      <c r="G33" s="9" t="inlineStr">
        <is>
          <t>M</t>
        </is>
      </c>
      <c r="H33" s="9">
        <f>VLOOKUP(G33,'Read Me'!$A$13:$C$15,2,FALSE)</f>
        <v/>
      </c>
      <c r="I33" s="9">
        <f>VLOOKUP(G33,'Read Me'!$A$13:$C$15,3,FALSE)</f>
        <v/>
      </c>
      <c r="J33" s="9" t="inlineStr">
        <is>
          <t>M5</t>
        </is>
      </c>
      <c r="K33" s="9" t="inlineStr">
        <is>
          <t>US-054, US-070</t>
        </is>
      </c>
      <c r="L33" s="9" t="inlineStr">
        <is>
          <t>CHR-02 (One Hero per Age), MVP-04, MVP-09</t>
        </is>
      </c>
      <c r="M33" s="9" t="inlineStr">
        <is>
          <t>Game states</t>
        </is>
      </c>
      <c r="N33" s="9" t="inlineStr"/>
      <c r="O33" s="16" t="inlineStr">
        <is>
          <t>To do</t>
        </is>
      </c>
    </row>
    <row r="34" ht="124.2" customHeight="1">
      <c r="A34" s="7" t="inlineStr">
        <is>
          <t>US-060</t>
        </is>
      </c>
      <c r="B34" s="9" t="inlineStr">
        <is>
          <t>E6</t>
        </is>
      </c>
      <c r="C34" s="9" t="inlineStr">
        <is>
          <t>Define the five Age 1 professions as data</t>
        </is>
      </c>
      <c r="D34" s="9" t="inlineStr">
        <is>
          <t>As a designer (data editor), I want professions defined in JSON: skills, tools, actions, related pillar, so that content can grow without code changes.</t>
        </is>
      </c>
      <c r="E34" s="9" t="inlineStr">
        <is>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is>
      </c>
      <c r="F34" s="9" t="inlineStr">
        <is>
          <t>Must</t>
        </is>
      </c>
      <c r="G34" s="9" t="inlineStr">
        <is>
          <t>S</t>
        </is>
      </c>
      <c r="H34" s="9">
        <f>VLOOKUP(G34,'Read Me'!$A$13:$C$15,2,FALSE)</f>
        <v/>
      </c>
      <c r="I34" s="9">
        <f>VLOOKUP(G34,'Read Me'!$A$13:$C$15,3,FALSE)</f>
        <v/>
      </c>
      <c r="J34" s="9" t="inlineStr">
        <is>
          <t>M5</t>
        </is>
      </c>
      <c r="K34" s="9" t="inlineStr">
        <is>
          <t>US-016, D-09</t>
        </is>
      </c>
      <c r="L34" s="9" t="inlineStr">
        <is>
          <t>CHR-07, ARC-08, MVP-07</t>
        </is>
      </c>
      <c r="M34" s="9" t="inlineStr">
        <is>
          <t>JSON parsing into structs</t>
        </is>
      </c>
      <c r="N34" s="9" t="inlineStr"/>
      <c r="O34" s="16" t="inlineStr">
        <is>
          <t>To do</t>
        </is>
      </c>
    </row>
    <row r="35" ht="186.3" customHeight="1">
      <c r="A35" s="7" t="inlineStr">
        <is>
          <t>US-061</t>
        </is>
      </c>
      <c r="B35" s="9" t="inlineStr">
        <is>
          <t>E6</t>
        </is>
      </c>
      <c r="C35" s="9" t="inlineStr">
        <is>
          <t>Interact with things through a context menu</t>
        </is>
      </c>
      <c r="D35" s="9" t="inlineStr">
        <is>
          <t>As a player, I want to click a thing and pick from the actions it offers, so that I can do many things with everything in the world.</t>
        </is>
      </c>
      <c r="E35" s="9" t="inlineStr">
        <is>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is>
      </c>
      <c r="F35" s="9" t="inlineStr">
        <is>
          <t>Must</t>
        </is>
      </c>
      <c r="G35" s="9" t="inlineStr">
        <is>
          <t>L</t>
        </is>
      </c>
      <c r="H35" s="9">
        <f>VLOOKUP(G35,'Read Me'!$A$13:$C$15,2,FALSE)</f>
        <v/>
      </c>
      <c r="I35" s="9">
        <f>VLOOKUP(G35,'Read Me'!$A$13:$C$15,3,FALSE)</f>
        <v/>
      </c>
      <c r="J35" s="9" t="inlineStr">
        <is>
          <t>M5</t>
        </is>
      </c>
      <c r="K35" s="9" t="inlineStr">
        <is>
          <t>US-024, D-08</t>
        </is>
      </c>
      <c r="L35" s="9" t="inlineStr">
        <is>
          <t>INT-01, GD-04 (candidate properties + verbs), UX-02</t>
        </is>
      </c>
      <c r="M35" s="9" t="inlineStr">
        <is>
          <t>Querying components; the Command pattern</t>
        </is>
      </c>
      <c r="N35" s="9" t="inlineStr"/>
      <c r="O35" s="16" t="inlineStr">
        <is>
          <t>To do</t>
        </is>
      </c>
    </row>
    <row r="36" ht="186.3" customHeight="1">
      <c r="A36" s="7" t="inlineStr">
        <is>
          <t>US-062</t>
        </is>
      </c>
      <c r="B36" s="9" t="inlineStr">
        <is>
          <t>E6</t>
        </is>
      </c>
      <c r="C36" s="9" t="inlineStr">
        <is>
          <t>Craft at a workstation</t>
        </is>
      </c>
      <c r="D36" s="9" t="inlineStr">
        <is>
          <t>As a player, I want to turn materials into tools at a knapping stone or fire, so that my work produces useful things.</t>
        </is>
      </c>
      <c r="E36" s="9" t="inlineStr">
        <is>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is>
      </c>
      <c r="F36" s="9" t="inlineStr">
        <is>
          <t>Must</t>
        </is>
      </c>
      <c r="G36" s="9" t="inlineStr">
        <is>
          <t>M</t>
        </is>
      </c>
      <c r="H36" s="9">
        <f>VLOOKUP(G36,'Read Me'!$A$13:$C$15,2,FALSE)</f>
        <v/>
      </c>
      <c r="I36" s="9">
        <f>VLOOKUP(G36,'Read Me'!$A$13:$C$15,3,FALSE)</f>
        <v/>
      </c>
      <c r="J36" s="9" t="inlineStr">
        <is>
          <t>M5</t>
        </is>
      </c>
      <c r="K36" s="9" t="inlineStr">
        <is>
          <t>US-061, US-060</t>
        </is>
      </c>
      <c r="L36" s="9" t="inlineStr">
        <is>
          <t>GD-02 (candidate provenance)</t>
        </is>
      </c>
      <c r="M36" s="9" t="inlineStr">
        <is>
          <t>Recipes as data</t>
        </is>
      </c>
      <c r="N36" s="9" t="inlineStr"/>
      <c r="O36" s="16" t="inlineStr">
        <is>
          <t>To do</t>
        </is>
      </c>
    </row>
    <row r="37" ht="186.3" customHeight="1">
      <c r="A37" s="7" t="inlineStr">
        <is>
          <t>US-063</t>
        </is>
      </c>
      <c r="B37" s="9" t="inlineStr">
        <is>
          <t>E6</t>
        </is>
      </c>
      <c r="C37" s="9" t="inlineStr">
        <is>
          <t>Learn a trade from a master</t>
        </is>
      </c>
      <c r="D37" s="9" t="inlineStr">
        <is>
          <t>As a player, I want to apprentice with an NPC master once they trust me, so that skills and relationships grow together.</t>
        </is>
      </c>
      <c r="E37" s="9" t="inlineStr">
        <is>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is>
      </c>
      <c r="F37" s="9" t="inlineStr">
        <is>
          <t>Should</t>
        </is>
      </c>
      <c r="G37" s="9" t="inlineStr">
        <is>
          <t>M</t>
        </is>
      </c>
      <c r="H37" s="9">
        <f>VLOOKUP(G37,'Read Me'!$A$13:$C$15,2,FALSE)</f>
        <v/>
      </c>
      <c r="I37" s="9">
        <f>VLOOKUP(G37,'Read Me'!$A$13:$C$15,3,FALSE)</f>
        <v/>
      </c>
      <c r="J37" s="9" t="inlineStr">
        <is>
          <t>M5</t>
        </is>
      </c>
      <c r="K37" s="9" t="inlineStr">
        <is>
          <t>US-013, US-060</t>
        </is>
      </c>
      <c r="L37" s="9" t="inlineStr">
        <is>
          <t>CHR-07, SDC-01 (candidate)</t>
        </is>
      </c>
      <c r="M37" s="9" t="inlineStr">
        <is>
          <t>Relationships as data</t>
        </is>
      </c>
      <c r="N37" s="9" t="inlineStr"/>
      <c r="O37" s="16" t="inlineStr">
        <is>
          <t>To do</t>
        </is>
      </c>
    </row>
    <row r="38" ht="124.2" customHeight="1">
      <c r="A38" s="7" t="inlineStr">
        <is>
          <t>US-070</t>
        </is>
      </c>
      <c r="B38" s="9" t="inlineStr">
        <is>
          <t>E7</t>
        </is>
      </c>
      <c r="C38" s="9" t="inlineStr">
        <is>
          <t>Track regional dominion</t>
        </is>
      </c>
      <c r="D38" s="9" t="inlineStr">
        <is>
          <t>As a player, I want a Dominion Meter showing my clan's share of the region in Trade and Religion, so that I know how close I am to leading the region.</t>
        </is>
      </c>
      <c r="E38" s="9" t="inlineStr">
        <is>
          <t>Scenario: Display
  Given the Dominion panel
  When I open it
  Then Trade and Religion show percentages; Military, Politics, Technology and Ideology show 'later Ages'
Scenario: Update
  Given a trade or conversion happens
  When the day ends
  Then the relevant percentage updates</t>
        </is>
      </c>
      <c r="F38" s="9" t="inlineStr">
        <is>
          <t>Must</t>
        </is>
      </c>
      <c r="G38" s="9" t="inlineStr">
        <is>
          <t>M</t>
        </is>
      </c>
      <c r="H38" s="9">
        <f>VLOOKUP(G38,'Read Me'!$A$13:$C$15,2,FALSE)</f>
        <v/>
      </c>
      <c r="I38" s="9">
        <f>VLOOKUP(G38,'Read Me'!$A$13:$C$15,3,FALSE)</f>
        <v/>
      </c>
      <c r="J38" s="9" t="inlineStr">
        <is>
          <t>M5</t>
        </is>
      </c>
      <c r="K38" s="9" t="inlineStr">
        <is>
          <t>US-042</t>
        </is>
      </c>
      <c r="L38" s="9" t="inlineStr">
        <is>
          <t>ENV-10, MVP-08</t>
        </is>
      </c>
      <c r="M38" s="9" t="inlineStr">
        <is>
          <t>Aggregating data across entities</t>
        </is>
      </c>
      <c r="N38" s="9" t="inlineStr"/>
      <c r="O38" s="16" t="inlineStr">
        <is>
          <t>To do</t>
        </is>
      </c>
    </row>
    <row r="39" ht="186.3" customHeight="1">
      <c r="A39" s="7" t="inlineStr">
        <is>
          <t>US-071</t>
        </is>
      </c>
      <c r="B39" s="9" t="inlineStr">
        <is>
          <t>E7</t>
        </is>
      </c>
      <c r="C39" s="9" t="inlineStr">
        <is>
          <t>Barter with rival clans</t>
        </is>
      </c>
      <c r="D39" s="9" t="inlineStr">
        <is>
          <t>As a player, I want to exchange goods with other clans and track debts, so that Trade becomes a path to leadership.</t>
        </is>
      </c>
      <c r="E39" s="9" t="inlineStr">
        <is>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is>
      </c>
      <c r="F39" s="9" t="inlineStr">
        <is>
          <t>Must</t>
        </is>
      </c>
      <c r="G39" s="9" t="inlineStr">
        <is>
          <t>L</t>
        </is>
      </c>
      <c r="H39" s="9">
        <f>VLOOKUP(G39,'Read Me'!$A$13:$C$15,2,FALSE)</f>
        <v/>
      </c>
      <c r="I39" s="9">
        <f>VLOOKUP(G39,'Read Me'!$A$13:$C$15,3,FALSE)</f>
        <v/>
      </c>
      <c r="J39" s="9" t="inlineStr">
        <is>
          <t>M5</t>
        </is>
      </c>
      <c r="K39" s="9" t="inlineStr">
        <is>
          <t>US-070, US-042</t>
        </is>
      </c>
      <c r="L39" s="9" t="inlineStr">
        <is>
          <t>PIL-02, MVP-08</t>
        </is>
      </c>
      <c r="M39" s="9" t="inlineStr">
        <is>
          <t>Integer arithmetic for goods (no floats)</t>
        </is>
      </c>
      <c r="N39" s="9" t="inlineStr"/>
      <c r="O39" s="16" t="inlineStr">
        <is>
          <t>To do</t>
        </is>
      </c>
    </row>
    <row r="40" ht="186.3" customHeight="1">
      <c r="A40" s="7" t="inlineStr">
        <is>
          <t>US-072</t>
        </is>
      </c>
      <c r="B40" s="9" t="inlineStr">
        <is>
          <t>E7</t>
        </is>
      </c>
      <c r="C40" s="9" t="inlineStr">
        <is>
          <t>Found a sacred fire and gather followers</t>
        </is>
      </c>
      <c r="D40" s="9" t="inlineStr">
        <is>
          <t>As a player, I want to found a named sacred fire and hold rituals that attract followers, so that Religion becomes a path to leadership.</t>
        </is>
      </c>
      <c r="E40" s="9" t="inlineStr">
        <is>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is>
      </c>
      <c r="F40" s="9" t="inlineStr">
        <is>
          <t>Must</t>
        </is>
      </c>
      <c r="G40" s="9" t="inlineStr">
        <is>
          <t>L</t>
        </is>
      </c>
      <c r="H40" s="9">
        <f>VLOOKUP(G40,'Read Me'!$A$13:$C$15,2,FALSE)</f>
        <v/>
      </c>
      <c r="I40" s="9">
        <f>VLOOKUP(G40,'Read Me'!$A$13:$C$15,3,FALSE)</f>
        <v/>
      </c>
      <c r="J40" s="9" t="inlineStr">
        <is>
          <t>M5</t>
        </is>
      </c>
      <c r="K40" s="9" t="inlineStr">
        <is>
          <t>US-070, US-060</t>
        </is>
      </c>
      <c r="L40" s="9" t="inlineStr">
        <is>
          <t>PIL-04, MVP-08</t>
        </is>
      </c>
      <c r="M40" s="9" t="inlineStr">
        <is>
          <t>Events and timers</t>
        </is>
      </c>
      <c r="N40" s="9" t="inlineStr"/>
      <c r="O40" s="16" t="inlineStr">
        <is>
          <t>To do</t>
        </is>
      </c>
    </row>
    <row r="41" ht="124.2" customHeight="1">
      <c r="A41" s="7" t="inlineStr">
        <is>
          <t>US-073</t>
        </is>
      </c>
      <c r="B41" s="9" t="inlineStr">
        <is>
          <t>E7</t>
        </is>
      </c>
      <c r="C41" s="9" t="inlineStr">
        <is>
          <t>Win by leading the region</t>
        </is>
      </c>
      <c r="D41" s="9" t="inlineStr">
        <is>
          <t>As a player, I want to win when my clan dominates the region, so that the run has a satisfying goal.</t>
        </is>
      </c>
      <c r="E41" s="9" t="inlineStr">
        <is>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is>
      </c>
      <c r="F41" s="9" t="inlineStr">
        <is>
          <t>Must</t>
        </is>
      </c>
      <c r="G41" s="9" t="inlineStr">
        <is>
          <t>S</t>
        </is>
      </c>
      <c r="H41" s="9">
        <f>VLOOKUP(G41,'Read Me'!$A$13:$C$15,2,FALSE)</f>
        <v/>
      </c>
      <c r="I41" s="9">
        <f>VLOOKUP(G41,'Read Me'!$A$13:$C$15,3,FALSE)</f>
        <v/>
      </c>
      <c r="J41" s="9" t="inlineStr">
        <is>
          <t>M5</t>
        </is>
      </c>
      <c r="K41" s="9" t="inlineStr">
        <is>
          <t>US-070, US-071, US-072, D-10</t>
        </is>
      </c>
      <c r="L41" s="9" t="inlineStr">
        <is>
          <t>ENV-05, MVP-09</t>
        </is>
      </c>
      <c r="M41" s="9" t="inlineStr">
        <is>
          <t>Game-over states</t>
        </is>
      </c>
      <c r="N41" s="9" t="inlineStr"/>
      <c r="O41" s="16" t="inlineStr">
        <is>
          <t>To do</t>
        </is>
      </c>
    </row>
    <row r="42" ht="186.3" customHeight="1">
      <c r="A42" s="7" t="inlineStr">
        <is>
          <t>US-080</t>
        </is>
      </c>
      <c r="B42" s="9" t="inlineStr">
        <is>
          <t>E8</t>
        </is>
      </c>
      <c r="C42" s="9" t="inlineStr">
        <is>
          <t>Autosave and keep backups</t>
        </is>
      </c>
      <c r="D42" s="9" t="inlineStr">
        <is>
          <t>As a player, I want the game to autosave and keep backups, so that I never lose more than a few minutes.</t>
        </is>
      </c>
      <c r="E42" s="9" t="inlineStr">
        <is>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is>
      </c>
      <c r="F42" s="9" t="inlineStr">
        <is>
          <t>Must</t>
        </is>
      </c>
      <c r="G42" s="9" t="inlineStr">
        <is>
          <t>M</t>
        </is>
      </c>
      <c r="H42" s="9">
        <f>VLOOKUP(G42,'Read Me'!$A$13:$C$15,2,FALSE)</f>
        <v/>
      </c>
      <c r="I42" s="9">
        <f>VLOOKUP(G42,'Read Me'!$A$13:$C$15,3,FALSE)</f>
        <v/>
      </c>
      <c r="J42" s="9" t="inlineStr">
        <is>
          <t>M4</t>
        </is>
      </c>
      <c r="K42" s="9" t="inlineStr">
        <is>
          <t>US-016</t>
        </is>
      </c>
      <c r="L42" s="9" t="inlineStr">
        <is>
          <t>ADR-010, NFR-05</t>
        </is>
      </c>
      <c r="M42" s="9" t="inlineStr">
        <is>
          <t>Atomic file writes</t>
        </is>
      </c>
      <c r="N42" s="9" t="inlineStr"/>
      <c r="O42" s="16" t="inlineStr">
        <is>
          <t>To do</t>
        </is>
      </c>
    </row>
    <row r="43" ht="124.2" customHeight="1">
      <c r="A43" s="7" t="inlineStr">
        <is>
          <t>US-081</t>
        </is>
      </c>
      <c r="B43" s="9" t="inlineStr">
        <is>
          <t>E8</t>
        </is>
      </c>
      <c r="C43" s="9" t="inlineStr">
        <is>
          <t>Change basic settings</t>
        </is>
      </c>
      <c r="D43" s="9" t="inlineStr">
        <is>
          <t>As a player, I want to set window mode, resolution and volume, so that the game fits my screen and ears.</t>
        </is>
      </c>
      <c r="E43" s="9" t="inlineStr">
        <is>
          <t>Scenario: Apply
  Given the Settings screen
  When I switch to fullscreen
  Then the change applies immediately and is remembered next launch
Scenario: Reset
  Given invalid values in settings.json
  When the game starts
  Then defaults are used and the file is rewritten</t>
        </is>
      </c>
      <c r="F43" s="9" t="inlineStr">
        <is>
          <t>Should</t>
        </is>
      </c>
      <c r="G43" s="9" t="inlineStr">
        <is>
          <t>S</t>
        </is>
      </c>
      <c r="H43" s="9">
        <f>VLOOKUP(G43,'Read Me'!$A$13:$C$15,2,FALSE)</f>
        <v/>
      </c>
      <c r="I43" s="9">
        <f>VLOOKUP(G43,'Read Me'!$A$13:$C$15,3,FALSE)</f>
        <v/>
      </c>
      <c r="J43" s="9" t="inlineStr">
        <is>
          <t>M5</t>
        </is>
      </c>
      <c r="K43" s="9" t="inlineStr">
        <is>
          <t>US-020</t>
        </is>
      </c>
      <c r="L43" s="9" t="inlineStr">
        <is>
          <t>Architecture 7.8</t>
        </is>
      </c>
      <c r="M43" s="9" t="inlineStr">
        <is>
          <t>Reading and writing settings</t>
        </is>
      </c>
      <c r="N43" s="9" t="inlineStr"/>
      <c r="O43" s="16" t="inlineStr">
        <is>
          <t>To do</t>
        </is>
      </c>
    </row>
    <row r="44" ht="124.2" customHeight="1">
      <c r="A44" s="7" t="inlineStr">
        <is>
          <t>US-082</t>
        </is>
      </c>
      <c r="B44" s="9" t="inlineStr">
        <is>
          <t>E8</t>
        </is>
      </c>
      <c r="C44" s="9" t="inlineStr">
        <is>
          <t>Keep within the performance budget</t>
        </is>
      </c>
      <c r="D44" s="9" t="inlineStr">
        <is>
          <t>As a developer, I want an FPS and tick-time overlay and a performance test, so that I notice slowdowns the day I cause them.</t>
        </is>
      </c>
      <c r="E44" s="9" t="inlineStr">
        <is>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is>
      </c>
      <c r="F44" s="9" t="inlineStr">
        <is>
          <t>Must</t>
        </is>
      </c>
      <c r="G44" s="9" t="inlineStr">
        <is>
          <t>S</t>
        </is>
      </c>
      <c r="H44" s="9">
        <f>VLOOKUP(G44,'Read Me'!$A$13:$C$15,2,FALSE)</f>
        <v/>
      </c>
      <c r="I44" s="9">
        <f>VLOOKUP(G44,'Read Me'!$A$13:$C$15,3,FALSE)</f>
        <v/>
      </c>
      <c r="J44" s="9" t="inlineStr">
        <is>
          <t>M5</t>
        </is>
      </c>
      <c r="K44" s="9" t="inlineStr">
        <is>
          <t>US-032, US-042, D-06</t>
        </is>
      </c>
      <c r="L44" s="9" t="inlineStr">
        <is>
          <t>NFR-03</t>
        </is>
      </c>
      <c r="M44" s="9" t="inlineStr">
        <is>
          <t>Profiling with Tracy</t>
        </is>
      </c>
      <c r="N44" s="9" t="inlineStr"/>
      <c r="O44" s="16" t="inlineStr">
        <is>
          <t>To do</t>
        </is>
      </c>
    </row>
    <row r="45" ht="186.3" customHeight="1">
      <c r="A45" s="7" t="inlineStr">
        <is>
          <t>US-083</t>
        </is>
      </c>
      <c r="B45" s="9" t="inlineStr">
        <is>
          <t>E8</t>
        </is>
      </c>
      <c r="C45" s="9" t="inlineStr">
        <is>
          <t>Inspect and control the world with dev tools</t>
        </is>
      </c>
      <c r="D45" s="9" t="inlineStr">
        <is>
          <t>As a developer, I want Dear ImGui panels to inspect any person and control time, so that I can understand and tune the simulation live.</t>
        </is>
      </c>
      <c r="E45" s="9" t="inlineStr">
        <is>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is>
      </c>
      <c r="F45" s="9" t="inlineStr">
        <is>
          <t>Should</t>
        </is>
      </c>
      <c r="G45" s="9" t="inlineStr">
        <is>
          <t>M</t>
        </is>
      </c>
      <c r="H45" s="9">
        <f>VLOOKUP(G45,'Read Me'!$A$13:$C$15,2,FALSE)</f>
        <v/>
      </c>
      <c r="I45" s="9">
        <f>VLOOKUP(G45,'Read Me'!$A$13:$C$15,3,FALSE)</f>
        <v/>
      </c>
      <c r="J45" s="9" t="inlineStr">
        <is>
          <t>M4</t>
        </is>
      </c>
      <c r="K45" s="9" t="inlineStr">
        <is>
          <t>US-032</t>
        </is>
      </c>
      <c r="L45" s="9" t="inlineStr">
        <is>
          <t>ADR-015, learning stage 8</t>
        </is>
      </c>
      <c r="M45" s="9" t="inlineStr">
        <is>
          <t>Immediate-mode UI</t>
        </is>
      </c>
      <c r="N45" s="9" t="inlineStr"/>
      <c r="O45" s="16" t="inlineStr">
        <is>
          <t>To do</t>
        </is>
      </c>
    </row>
    <row r="46" ht="186.3" customHeight="1">
      <c r="A46" s="7" t="inlineStr">
        <is>
          <t>US-090</t>
        </is>
      </c>
      <c r="B46" s="9" t="inlineStr">
        <is>
          <t>E9</t>
        </is>
      </c>
      <c r="C46" s="9" t="inlineStr">
        <is>
          <t>Learn the game in the first ten minutes</t>
        </is>
      </c>
      <c r="D46" s="9" t="inlineStr">
        <is>
          <t>As a playtester, I want a clan elder to guide me through my first day, so that I can play without reading a manual.</t>
        </is>
      </c>
      <c r="E46" s="9" t="inlineStr">
        <is>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is>
      </c>
      <c r="F46" s="9" t="inlineStr">
        <is>
          <t>Should</t>
        </is>
      </c>
      <c r="G46" s="9" t="inlineStr">
        <is>
          <t>M</t>
        </is>
      </c>
      <c r="H46" s="9">
        <f>VLOOKUP(G46,'Read Me'!$A$13:$C$15,2,FALSE)</f>
        <v/>
      </c>
      <c r="I46" s="9">
        <f>VLOOKUP(G46,'Read Me'!$A$13:$C$15,3,FALSE)</f>
        <v/>
      </c>
      <c r="J46" s="9" t="inlineStr">
        <is>
          <t>M6</t>
        </is>
      </c>
      <c r="K46" s="9" t="inlineStr">
        <is>
          <t>US-061, D-11</t>
        </is>
      </c>
      <c r="L46" s="9" t="inlineStr">
        <is>
          <t>UX, NA (story)</t>
        </is>
      </c>
      <c r="M46" s="9" t="inlineStr">
        <is>
          <t>Scripted sequences as data</t>
        </is>
      </c>
      <c r="N46" s="9" t="inlineStr"/>
      <c r="O46" s="16" t="inlineStr">
        <is>
          <t>To do</t>
        </is>
      </c>
    </row>
    <row r="47" ht="124.2" customHeight="1">
      <c r="A47" s="7" t="inlineStr">
        <is>
          <t>US-091</t>
        </is>
      </c>
      <c r="B47" s="9" t="inlineStr">
        <is>
          <t>E9</t>
        </is>
      </c>
      <c r="C47" s="9" t="inlineStr">
        <is>
          <t>Install and run the playtest build</t>
        </is>
      </c>
      <c r="D47" s="9" t="inlineStr">
        <is>
          <t>As a playtester, I want a zip I can unpack and run, so that I can try the game without technical help.</t>
        </is>
      </c>
      <c r="E47" s="9" t="inlineStr">
        <is>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is>
      </c>
      <c r="F47" s="9" t="inlineStr">
        <is>
          <t>Must</t>
        </is>
      </c>
      <c r="G47" s="9" t="inlineStr">
        <is>
          <t>S</t>
        </is>
      </c>
      <c r="H47" s="9">
        <f>VLOOKUP(G47,'Read Me'!$A$13:$C$15,2,FALSE)</f>
        <v/>
      </c>
      <c r="I47" s="9">
        <f>VLOOKUP(G47,'Read Me'!$A$13:$C$15,3,FALSE)</f>
        <v/>
      </c>
      <c r="J47" s="9" t="inlineStr">
        <is>
          <t>M6</t>
        </is>
      </c>
      <c r="K47" s="9" t="inlineStr">
        <is>
          <t>US-004, US-080</t>
        </is>
      </c>
      <c r="L47" s="9" t="inlineStr">
        <is>
          <t>PLT-01</t>
        </is>
      </c>
      <c r="M47" s="9" t="inlineStr">
        <is>
          <t>Release builds and packaging</t>
        </is>
      </c>
      <c r="N47" s="9" t="inlineStr"/>
      <c r="O47" s="16" t="inlineStr">
        <is>
          <t>To do</t>
        </is>
      </c>
    </row>
    <row r="48" ht="124.2" customHeight="1">
      <c r="A48" s="7" t="inlineStr">
        <is>
          <t>US-092</t>
        </is>
      </c>
      <c r="B48" s="9" t="inlineStr">
        <is>
          <t>E9</t>
        </is>
      </c>
      <c r="C48" s="9" t="inlineStr">
        <is>
          <t>Record local session statistics</t>
        </is>
      </c>
      <c r="D48" s="9" t="inlineStr">
        <is>
          <t>As a developer, I want an opt-in local log of session length and key events, so that I can measure the MVP success criteria honestly.</t>
        </is>
      </c>
      <c r="E48" s="9" t="inlineStr">
        <is>
          <t>Scenario: Opt-in
  Given first launch
  When the game asks about session statistics
  Then nothing is recorded unless I agree
Scenario: Local only
  Given statistics enabled
  When a session ends
  Then a file with play time and key events is written locally and nothing is sent anywhere</t>
        </is>
      </c>
      <c r="F48" s="9" t="inlineStr">
        <is>
          <t>Should</t>
        </is>
      </c>
      <c r="G48" s="9" t="inlineStr">
        <is>
          <t>S</t>
        </is>
      </c>
      <c r="H48" s="9">
        <f>VLOOKUP(G48,'Read Me'!$A$13:$C$15,2,FALSE)</f>
        <v/>
      </c>
      <c r="I48" s="9">
        <f>VLOOKUP(G48,'Read Me'!$A$13:$C$15,3,FALSE)</f>
        <v/>
      </c>
      <c r="J48" s="9" t="inlineStr">
        <is>
          <t>M6</t>
        </is>
      </c>
      <c r="K48" s="9" t="inlineStr">
        <is>
          <t>US-091</t>
        </is>
      </c>
      <c r="L48" s="9" t="inlineStr">
        <is>
          <t>MVP success criteria, ARC-04</t>
        </is>
      </c>
      <c r="M48" s="9" t="inlineStr">
        <is>
          <t>Privacy by design</t>
        </is>
      </c>
      <c r="N48" s="9" t="inlineStr"/>
      <c r="O48" s="16" t="inlineStr">
        <is>
          <t>To do</t>
        </is>
      </c>
    </row>
    <row r="49" ht="124.2" customHeight="1">
      <c r="A49" s="7" t="inlineStr">
        <is>
          <t>US-025</t>
        </is>
      </c>
      <c r="B49" s="9" t="inlineStr">
        <is>
          <t>E10</t>
        </is>
      </c>
      <c r="C49" s="9" t="inlineStr">
        <is>
          <t>Build deterministic 3D math</t>
        </is>
      </c>
      <c r="D49" s="9" t="inlineStr">
        <is>
          <t>As a developer, I want fixed-point numbers, 3D vectors and rotations in Luna Physics, so that physics gives identical results on every computer and every run.</t>
        </is>
      </c>
      <c r="E49" s="9" t="inlineStr">
        <is>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is>
      </c>
      <c r="F49" s="9" t="inlineStr">
        <is>
          <t>Must</t>
        </is>
      </c>
      <c r="G49" s="9" t="inlineStr">
        <is>
          <t>M</t>
        </is>
      </c>
      <c r="H49" s="9">
        <f>VLOOKUP(G49,'Read Me'!$A$13:$C$15,2,FALSE)</f>
        <v/>
      </c>
      <c r="I49" s="9">
        <f>VLOOKUP(G49,'Read Me'!$A$13:$C$15,3,FALSE)</f>
        <v/>
      </c>
      <c r="J49" s="9" t="inlineStr">
        <is>
          <t>M1b</t>
        </is>
      </c>
      <c r="K49" s="9" t="inlineStr">
        <is>
          <t>US-003</t>
        </is>
      </c>
      <c r="L49" s="9" t="inlineStr">
        <is>
          <t>PHY-01, ARC-10, ADR-017</t>
        </is>
      </c>
      <c r="M49" s="9" t="inlineStr">
        <is>
          <t>Fixed-point arithmetic; operator overloading; quaternions</t>
        </is>
      </c>
      <c r="N49" s="9" t="n"/>
      <c r="O49" s="16" t="inlineStr">
        <is>
          <t>To do</t>
        </is>
      </c>
    </row>
    <row r="50" ht="124.2" customHeight="1">
      <c r="A50" s="7" t="inlineStr">
        <is>
          <t>US-026</t>
        </is>
      </c>
      <c r="B50" s="9" t="inlineStr">
        <is>
          <t>E10</t>
        </is>
      </c>
      <c r="C50" s="9" t="inlineStr">
        <is>
          <t>Detect hits between shapes</t>
        </is>
      </c>
      <c r="D50" s="9" t="inlineStr">
        <is>
          <t>As a developer, I want spheres, capsules and boxes to report overlaps, ray hits and swept hits, so that every hit is found and a fast spear never passes through its target.</t>
        </is>
      </c>
      <c r="E50" s="9" t="inlineStr">
        <is>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is>
      </c>
      <c r="F50" s="9" t="inlineStr">
        <is>
          <t>Must</t>
        </is>
      </c>
      <c r="G50" s="9" t="inlineStr">
        <is>
          <t>L</t>
        </is>
      </c>
      <c r="H50" s="9">
        <f>VLOOKUP(G50,'Read Me'!$A$13:$C$15,2,FALSE)</f>
        <v/>
      </c>
      <c r="I50" s="9">
        <f>VLOOKUP(G50,'Read Me'!$A$13:$C$15,3,FALSE)</f>
        <v/>
      </c>
      <c r="J50" s="9" t="inlineStr">
        <is>
          <t>M1b</t>
        </is>
      </c>
      <c r="K50" s="9" t="inlineStr">
        <is>
          <t>US-025</t>
        </is>
      </c>
      <c r="L50" s="9" t="inlineStr">
        <is>
          <t>PHY-02, ARC-10</t>
        </is>
      </c>
      <c r="M50" s="9" t="inlineStr">
        <is>
          <t>Structs and pure functions; geometry; spatial grids</t>
        </is>
      </c>
      <c r="N50" s="9" t="n"/>
      <c r="O50" s="16" t="inlineStr">
        <is>
          <t>To do</t>
        </is>
      </c>
    </row>
    <row r="51" ht="124.2" customHeight="1">
      <c r="A51" s="7" t="inlineStr">
        <is>
          <t>US-027</t>
        </is>
      </c>
      <c r="B51" s="9" t="inlineStr">
        <is>
          <t>E10</t>
        </is>
      </c>
      <c r="C51" s="9" t="inlineStr">
        <is>
          <t>Fly projectiles with real ballistics</t>
        </is>
      </c>
      <c r="D51" s="9" t="inlineStr">
        <is>
          <t>As a hunter, I want thrown spears and darts to fly in true arcs under gravity, drag and wind, so that aim, strength and distance matter.</t>
        </is>
      </c>
      <c r="E51" s="9" t="inlineStr">
        <is>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is>
      </c>
      <c r="F51" s="9" t="inlineStr">
        <is>
          <t>Must</t>
        </is>
      </c>
      <c r="G51" s="9" t="inlineStr">
        <is>
          <t>M</t>
        </is>
      </c>
      <c r="H51" s="9">
        <f>VLOOKUP(G51,'Read Me'!$A$13:$C$15,2,FALSE)</f>
        <v/>
      </c>
      <c r="I51" s="9">
        <f>VLOOKUP(G51,'Read Me'!$A$13:$C$15,3,FALSE)</f>
        <v/>
      </c>
      <c r="J51" s="9" t="inlineStr">
        <is>
          <t>M1b</t>
        </is>
      </c>
      <c r="K51" s="9" t="inlineStr">
        <is>
          <t>US-026</t>
        </is>
      </c>
      <c r="L51" s="9" t="inlineStr">
        <is>
          <t>PHY-03, ADR-017</t>
        </is>
      </c>
      <c r="M51" s="9" t="inlineStr">
        <is>
          <t>Numerical integration; units</t>
        </is>
      </c>
      <c r="N51" s="9" t="n"/>
      <c r="O51" s="16" t="inlineStr">
        <is>
          <t>To do</t>
        </is>
      </c>
    </row>
    <row r="52" ht="124.2" customHeight="1">
      <c r="A52" s="7" t="inlineStr">
        <is>
          <t>US-028</t>
        </is>
      </c>
      <c r="B52" s="9" t="inlineStr">
        <is>
          <t>E10</t>
        </is>
      </c>
      <c r="C52" s="9" t="inlineStr">
        <is>
          <t>Push and bounce bodies</t>
        </is>
      </c>
      <c r="D52" s="9" t="inlineStr">
        <is>
          <t>As a player, I want bodies to have mass, be pushed, slide, bounce and come to rest, so that knockback and thrown or falling objects feel physical.</t>
        </is>
      </c>
      <c r="E52" s="9" t="inlineStr">
        <is>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is>
      </c>
      <c r="F52" s="9" t="inlineStr">
        <is>
          <t>Must</t>
        </is>
      </c>
      <c r="G52" s="9" t="inlineStr">
        <is>
          <t>M</t>
        </is>
      </c>
      <c r="H52" s="9">
        <f>VLOOKUP(G52,'Read Me'!$A$13:$C$15,2,FALSE)</f>
        <v/>
      </c>
      <c r="I52" s="9">
        <f>VLOOKUP(G52,'Read Me'!$A$13:$C$15,3,FALSE)</f>
        <v/>
      </c>
      <c r="J52" s="9" t="inlineStr">
        <is>
          <t>M1b</t>
        </is>
      </c>
      <c r="K52" s="9" t="inlineStr">
        <is>
          <t>US-026</t>
        </is>
      </c>
      <c r="L52" s="9" t="inlineStr">
        <is>
          <t>PHY-04, ADR-017</t>
        </is>
      </c>
      <c r="M52" s="9" t="inlineStr">
        <is>
          <t>Classes with invariants; fixed-timestep integration</t>
        </is>
      </c>
      <c r="N52" s="9" t="n"/>
      <c r="O52" s="16" t="inlineStr">
        <is>
          <t>To do</t>
        </is>
      </c>
    </row>
    <row r="53" ht="124.2" customHeight="1">
      <c r="A53" s="7" t="inlineStr">
        <is>
          <t>US-029</t>
        </is>
      </c>
      <c r="B53" s="9" t="inlineStr">
        <is>
          <t>E10</t>
        </is>
      </c>
      <c r="C53" s="9" t="inlineStr">
        <is>
          <t>Throw a spear in the demo</t>
        </is>
      </c>
      <c r="D53" s="9" t="inlineStr">
        <is>
          <t>As a player, I want to throw a spear at a target in the walking skeleton, so that Luna Physics is proven end to end in the real game.</t>
        </is>
      </c>
      <c r="E53" s="9" t="inlineStr">
        <is>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is>
      </c>
      <c r="F53" s="9" t="inlineStr">
        <is>
          <t>Must</t>
        </is>
      </c>
      <c r="G53" s="9" t="inlineStr">
        <is>
          <t>M</t>
        </is>
      </c>
      <c r="H53" s="9">
        <f>VLOOKUP(G53,'Read Me'!$A$13:$C$15,2,FALSE)</f>
        <v/>
      </c>
      <c r="I53" s="9">
        <f>VLOOKUP(G53,'Read Me'!$A$13:$C$15,3,FALSE)</f>
        <v/>
      </c>
      <c r="J53" s="9" t="inlineStr">
        <is>
          <t>M1b</t>
        </is>
      </c>
      <c r="K53" s="9" t="inlineStr">
        <is>
          <t>US-024, US-027, US-028</t>
        </is>
      </c>
      <c r="L53" s="9" t="inlineStr">
        <is>
          <t>PHY-02, PHY-03, PHY-05</t>
        </is>
      </c>
      <c r="M53" s="9" t="inlineStr">
        <is>
          <t>Putting it together; content as data (materials.json)</t>
        </is>
      </c>
      <c r="N53" s="9" t="n"/>
      <c r="O53" s="16" t="inlineStr">
        <is>
          <t>To do</t>
        </is>
      </c>
    </row>
    <row r="54" ht="124.2" customHeight="1">
      <c r="A54" s="7" t="inlineStr">
        <is>
          <t>US-110</t>
        </is>
      </c>
      <c r="B54" s="9" t="inlineStr">
        <is>
          <t>E11</t>
        </is>
      </c>
      <c r="C54" s="9" t="inlineStr">
        <is>
          <t>Give every death and feud a reason</t>
        </is>
      </c>
      <c r="D54" s="9" t="inlineStr">
        <is>
          <t>As a reader, I want every death and feud in the chronicle to say why it happened, so that events connect into a story.</t>
        </is>
      </c>
      <c r="E54" s="9" t="inlineStr">
        <is>
          <t>Scenario: Death with a cause
  Given a person who starves after the food store was robbed or ran empty
  When the death is recorded
  Then the sentence names the cause and the event behind it, e.g. 'Winter, year 74: Hano died of hunger in the hard winter, after Brak stole from the store.'
Scenario: Feud with a reason
  Given two people whose opinions fell through thefts, quarrels or blame
  When their feud begins
  Then the sentence names what turned them, e.g. 'A feud broke out between Tok and Brak over stolen meat.'
Scenario: Traceable
  Given any death or feud in the chronicle
  When I inspect it in the headless runner
  Then it lists the earlier events that caused it</t>
        </is>
      </c>
      <c r="F54" s="9" t="inlineStr">
        <is>
          <t>Must</t>
        </is>
      </c>
      <c r="G54" s="9" t="inlineStr">
        <is>
          <t>M</t>
        </is>
      </c>
      <c r="H54" s="9">
        <f>VLOOKUP(G54,'Read Me'!$A$13:$C$15,2,FALSE)</f>
        <v/>
      </c>
      <c r="I54" s="9">
        <f>VLOOKUP(G54,'Read Me'!$A$13:$C$15,3,FALSE)</f>
        <v/>
      </c>
      <c r="J54" s="9" t="inlineStr">
        <is>
          <t>M2b</t>
        </is>
      </c>
      <c r="K54" s="9" t="inlineStr">
        <is>
          <t>US-014</t>
        </is>
      </c>
      <c r="L54" s="9" t="inlineStr">
        <is>
          <t>STO-03, NA-02</t>
        </is>
      </c>
      <c r="M54" s="9" t="inlineStr">
        <is>
          <t>Small structs that point to other data (event ids); enums</t>
        </is>
      </c>
      <c r="N54" s="9" t="inlineStr">
        <is>
          <t>Kill Gate 1 pivot (owner, 2026-09-30, D-18)</t>
        </is>
      </c>
      <c r="O54" s="16" t="inlineStr">
        <is>
          <t>To do</t>
        </is>
      </c>
    </row>
    <row r="55" ht="124.2" customHeight="1">
      <c r="A55" s="7" t="inlineStr">
        <is>
          <t>US-111</t>
        </is>
      </c>
      <c r="B55" s="9" t="inlineStr">
        <is>
          <t>E11</t>
        </is>
      </c>
      <c r="C55" s="9" t="inlineStr">
        <is>
          <t>Quarrel, blame and take revenge</t>
        </is>
      </c>
      <c r="D55" s="9" t="inlineStr">
        <is>
          <t>As a player, I want people to quarrel, blame each other for losses and seek revenge, so that conflicts have causes and consequences.</t>
        </is>
      </c>
      <c r="E55" s="9" t="inlineStr">
        <is>
          <t>Scenario: Quarrel
  Given two tired or hungry people who dislike each other
  When they meet
  Then they may quarrel; both remember it and think less of each other
Scenario: Blame
  Given a person whose close kin died after a theft they know of, or on a hunt someone led
  When they grieve
  Then they blame the person linked to the cause and remember it for life
Scenario: Revenge
  Given a feud that keeps worsening
  When revenge is taken
  Then it ends in a fight (injury or death) or the clan exiles the aggressor, and the chronicle tells which and why</t>
        </is>
      </c>
      <c r="F55" s="9" t="inlineStr">
        <is>
          <t>Must</t>
        </is>
      </c>
      <c r="G55" s="9" t="inlineStr">
        <is>
          <t>L</t>
        </is>
      </c>
      <c r="H55" s="9">
        <f>VLOOKUP(G55,'Read Me'!$A$13:$C$15,2,FALSE)</f>
        <v/>
      </c>
      <c r="I55" s="9">
        <f>VLOOKUP(G55,'Read Me'!$A$13:$C$15,3,FALSE)</f>
        <v/>
      </c>
      <c r="J55" s="9" t="inlineStr">
        <is>
          <t>M2b</t>
        </is>
      </c>
      <c r="K55" s="9" t="inlineStr">
        <is>
          <t>US-110</t>
        </is>
      </c>
      <c r="L55" s="9" t="inlineStr">
        <is>
          <t>SDC-02, GD-03</t>
        </is>
      </c>
      <c r="M55" s="9" t="inlineStr">
        <is>
          <t>State machines with enums; std::optional</t>
        </is>
      </c>
      <c r="N55" s="9" t="inlineStr">
        <is>
          <t>Kill Gate 1 pivot (owner, 2026-09-30, D-18)</t>
        </is>
      </c>
      <c r="O55" s="16" t="inlineStr">
        <is>
          <t>To do</t>
        </is>
      </c>
    </row>
    <row r="56" ht="124.2" customHeight="1">
      <c r="A56" s="7" t="inlineStr">
        <is>
          <t>US-112</t>
        </is>
      </c>
      <c r="B56" s="9" t="inlineStr">
        <is>
          <t>E11</t>
        </is>
      </c>
      <c r="C56" s="9" t="inlineStr">
        <is>
          <t>Share food and nurse the sick</t>
        </is>
      </c>
      <c r="D56" s="9" t="inlineStr">
        <is>
          <t>As a player, I want people to share food in hard times and care for the sick and injured, so that kindness has weight and debts of gratitude form.</t>
        </is>
      </c>
      <c r="E56" s="9" t="inlineStr">
        <is>
          <t>Scenario: Sickness
  Given a person weakened by cold, hunger or a hunting wound
  When sickness or injury strikes
  Then they are sick or injured for some days and may die of it
Scenario: Nursing
  Given a sick person and a kind or close person nearby
  When they are nursed
  Then recovery is likelier and the patient remembers the carer with gratitude
Scenario: Sharing and adoption
  Given a hungry child or an orphan
  When a relative or friend has food or room
  Then they share or adopt, and the one helped remembers it</t>
        </is>
      </c>
      <c r="F56" s="9" t="inlineStr">
        <is>
          <t>Must</t>
        </is>
      </c>
      <c r="G56" s="9" t="inlineStr">
        <is>
          <t>L</t>
        </is>
      </c>
      <c r="H56" s="9">
        <f>VLOOKUP(G56,'Read Me'!$A$13:$C$15,2,FALSE)</f>
        <v/>
      </c>
      <c r="I56" s="9">
        <f>VLOOKUP(G56,'Read Me'!$A$13:$C$15,3,FALSE)</f>
        <v/>
      </c>
      <c r="J56" s="9" t="inlineStr">
        <is>
          <t>M2b</t>
        </is>
      </c>
      <c r="K56" s="9" t="inlineStr">
        <is>
          <t>US-110</t>
        </is>
      </c>
      <c r="L56" s="9" t="inlineStr">
        <is>
          <t>SDC-02</t>
        </is>
      </c>
      <c r="M56" s="9" t="inlineStr">
        <is>
          <t>Standard algorithms: std::find_if, std::max_element, std::sort</t>
        </is>
      </c>
      <c r="N56" s="9" t="inlineStr">
        <is>
          <t>Kill Gate 1 pivot (owner, 2026-09-30, D-18)</t>
        </is>
      </c>
      <c r="O56" s="16" t="inlineStr">
        <is>
          <t>To do</t>
        </is>
      </c>
    </row>
    <row r="57" ht="124.2" customHeight="1">
      <c r="A57" s="7" t="inlineStr">
        <is>
          <t>US-113</t>
        </is>
      </c>
      <c r="B57" s="9" t="inlineStr">
        <is>
          <t>E11</t>
        </is>
      </c>
      <c r="C57" s="9" t="inlineStr">
        <is>
          <t>Court and compete for a partner</t>
        </is>
      </c>
      <c r="D57" s="9" t="inlineStr">
        <is>
          <t>As a player, I want courtship with rivals and broken pairings, so that love brings drama as well as children.</t>
        </is>
      </c>
      <c r="E57" s="9" t="inlineStr">
        <is>
          <t>Scenario: Courtship
  Given an unpaired adult who favours another
  When they court (gifts, time together)
  Then the other's opinion rises, and they pair only when both agree
Scenario: Rivals
  Given two suitors courting the same person
  When one is chosen
  Then the rivals become jealous and may quarrel, and the one not chosen remembers it
Scenario: Parting
  Given partners whose opinions of each other fall below the parting threshold
  When a day ends
  Then they part, and the chronicle records why</t>
        </is>
      </c>
      <c r="F57" s="9" t="inlineStr">
        <is>
          <t>Must</t>
        </is>
      </c>
      <c r="G57" s="9" t="inlineStr">
        <is>
          <t>M</t>
        </is>
      </c>
      <c r="H57" s="9">
        <f>VLOOKUP(G57,'Read Me'!$A$13:$C$15,2,FALSE)</f>
        <v/>
      </c>
      <c r="I57" s="9">
        <f>VLOOKUP(G57,'Read Me'!$A$13:$C$15,3,FALSE)</f>
        <v/>
      </c>
      <c r="J57" s="9" t="inlineStr">
        <is>
          <t>M2b</t>
        </is>
      </c>
      <c r="K57" s="9" t="inlineStr">
        <is>
          <t>US-111</t>
        </is>
      </c>
      <c r="L57" s="9" t="inlineStr">
        <is>
          <t>SDC-02</t>
        </is>
      </c>
      <c r="M57" s="9" t="inlineStr">
        <is>
          <t>Comparators and ranking (std::sort with a lambda)</t>
        </is>
      </c>
      <c r="N57" s="9" t="inlineStr">
        <is>
          <t>Kill Gate 1 pivot (owner, 2026-09-30, D-18)</t>
        </is>
      </c>
      <c r="O57" s="16" t="inlineStr">
        <is>
          <t>To do</t>
        </is>
      </c>
    </row>
    <row r="58" ht="124.2" customHeight="1">
      <c r="A58" s="7" t="inlineStr">
        <is>
          <t>US-114</t>
        </is>
      </c>
      <c r="B58" s="9" t="inlineStr">
        <is>
          <t>E11</t>
        </is>
      </c>
      <c r="C58" s="9" t="inlineStr">
        <is>
          <t>Teach the young and hunt together</t>
        </is>
      </c>
      <c r="D58" s="9" t="inlineStr">
        <is>
          <t>As a player, I want masters to teach apprentices and hunters to go out in parties, so that skills pass down and hunts create heroes and cowards.</t>
        </is>
      </c>
      <c r="E58" s="9" t="inlineStr">
        <is>
          <t>Scenario: Apprenticeship
  Given a skilled adult and a youth of working age
  When the adult takes the youth as apprentice
  Then the youth's skill grows faster and they grow close
Scenario: Hunting party
  Given a mammoth sighting
  When a party of 3 to 5 hunters forms and hunts
  Then roles emerge (leader, hero, coward), the outcome depends on the party, and each member remembers what the others did
Scenario: Rescue
  Given a hunter in danger
  When another hunter saves them
  Then the rescued owes a debt of gratitude and the chronicle tells of it</t>
        </is>
      </c>
      <c r="F58" s="9" t="inlineStr">
        <is>
          <t>Must</t>
        </is>
      </c>
      <c r="G58" s="9" t="inlineStr">
        <is>
          <t>L</t>
        </is>
      </c>
      <c r="H58" s="9">
        <f>VLOOKUP(G58,'Read Me'!$A$13:$C$15,2,FALSE)</f>
        <v/>
      </c>
      <c r="I58" s="9">
        <f>VLOOKUP(G58,'Read Me'!$A$13:$C$15,3,FALSE)</f>
        <v/>
      </c>
      <c r="J58" s="9" t="inlineStr">
        <is>
          <t>M2b</t>
        </is>
      </c>
      <c r="K58" s="9" t="inlineStr">
        <is>
          <t>US-111</t>
        </is>
      </c>
      <c r="L58" s="9" t="inlineStr">
        <is>
          <t>SDC-02</t>
        </is>
      </c>
      <c r="M58" s="9" t="inlineStr">
        <is>
          <t>A class that coordinates others (the hunting party)</t>
        </is>
      </c>
      <c r="N58" s="9" t="inlineStr">
        <is>
          <t>Kill Gate 1 pivot (owner, 2026-09-30, D-18)</t>
        </is>
      </c>
      <c r="O58" s="16" t="inlineStr">
        <is>
          <t>To do</t>
        </is>
      </c>
    </row>
    <row r="59" ht="124.2" customHeight="1">
      <c r="A59" s="7" t="inlineStr">
        <is>
          <t>US-115</t>
        </is>
      </c>
      <c r="B59" s="9" t="inlineStr">
        <is>
          <t>E11</t>
        </is>
      </c>
      <c r="C59" s="9" t="inlineStr">
        <is>
          <t>Tell the clan's story in episodes</t>
        </is>
      </c>
      <c r="D59" s="9" t="inlineStr">
        <is>
          <t>As a reader, I want the chronicle to tell fewer, bigger episodes with a beginning, a turn and an end, so that I can follow the clan's story.</t>
        </is>
      </c>
      <c r="E59" s="9" t="inlineStr">
        <is>
          <t>Scenario: Episode
  Given linked events (a lean autumn, thefts, blame, a feud, deaths)
  When the episode ends
  Then the chronicle writes it as one short named paragraph ('The Hard Winter of year 74') saying who, why and what came of it
Scenario: Fewer, bigger
  Given a 100-year run
  When I print the story
  Then it tells at most 40 episodes, each naming its people and causes, followed by the births, deaths, pairings and feuds with their reasons
Scenario: Both views
  Given the headless runner
  When I ask for the story or for the full chronicle
  Then --story prints the episodes and --chronicle still prints every event</t>
        </is>
      </c>
      <c r="F59" s="9" t="inlineStr">
        <is>
          <t>Must</t>
        </is>
      </c>
      <c r="G59" s="9" t="inlineStr">
        <is>
          <t>L</t>
        </is>
      </c>
      <c r="H59" s="9">
        <f>VLOOKUP(G59,'Read Me'!$A$13:$C$15,2,FALSE)</f>
        <v/>
      </c>
      <c r="I59" s="9">
        <f>VLOOKUP(G59,'Read Me'!$A$13:$C$15,3,FALSE)</f>
        <v/>
      </c>
      <c r="J59" s="9" t="inlineStr">
        <is>
          <t>M2b</t>
        </is>
      </c>
      <c r="K59" s="9" t="inlineStr">
        <is>
          <t>US-110, US-111, US-112, US-113, US-114</t>
        </is>
      </c>
      <c r="L59" s="9" t="inlineStr">
        <is>
          <t>STO-02, STO-03, NA-02</t>
        </is>
      </c>
      <c r="M59" s="9" t="inlineStr">
        <is>
          <t>Designing with data: grouping and summarising</t>
        </is>
      </c>
      <c r="N59" s="9" t="inlineStr">
        <is>
          <t>Kill Gate 1 pivot (owner, 2026-09-30, D-18)</t>
        </is>
      </c>
      <c r="O59" s="16" t="inlineStr">
        <is>
          <t>To do</t>
        </is>
      </c>
    </row>
  </sheetData>
  <autoFilter ref="A4:O48"/>
  <conditionalFormatting sqref="F5:F59">
    <cfRule type="cellIs" priority="1" operator="equal" dxfId="3">
      <formula>"Must"</formula>
    </cfRule>
    <cfRule type="cellIs" priority="2" operator="equal" dxfId="0">
      <formula>"Should"</formula>
    </cfRule>
    <cfRule type="cellIs" priority="3" operator="equal" dxfId="1">
      <formula>"Could"</formula>
    </cfRule>
  </conditionalFormatting>
  <conditionalFormatting sqref="O5:O59">
    <cfRule type="cellIs" priority="4" operator="equal" dxfId="1">
      <formula>"Done"</formula>
    </cfRule>
    <cfRule type="cellIs" priority="5" operator="equal" dxfId="5">
      <formula>"In progress"</formula>
    </cfRule>
    <cfRule type="cellIs" priority="6" operator="equal" dxfId="3">
      <formula>"Blocked"</formula>
    </cfRule>
  </conditionalFormatting>
  <dataValidations count="1">
    <dataValidation sqref="O5 O6 O7 O8 O9 O10 O11 O12 O13 O14 O15 O16 O17 O18 O19 O20 O21 O22 O23 O24 O25 O26 O27 O28 O29 O30 O31 O32 O33 O34 O35 O36 O37 O38 O39 O40 O41 O42 O43 O44 O45 O46 O47 O48 O49 O50 O51 O52 O53 O54:O59" showDropDown="0" showInputMessage="0" showErrorMessage="0" allowBlank="0" type="list">
      <formula1>"To do,In progress,Blocked,Done"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42" customWidth="1" min="1" max="1"/>
    <col width="70" customWidth="1" min="2" max="2"/>
    <col width="28" customWidth="1" min="3" max="3"/>
  </cols>
  <sheetData>
    <row r="1">
      <c r="A1" s="1" t="inlineStr">
        <is>
          <t>Out of the MVP (and when it returns)</t>
        </is>
      </c>
    </row>
    <row r="2">
      <c r="A2" s="2" t="inlineStr">
        <is>
          <t>Saying no, with reasons. Nothing here is lost: each item returns on the roadmap.</t>
        </is>
      </c>
    </row>
    <row r="4">
      <c r="A4" s="6" t="inlineStr">
        <is>
          <t>Item</t>
        </is>
      </c>
      <c r="B4" s="6" t="inlineStr">
        <is>
          <t>Why it is cut from the MVP</t>
        </is>
      </c>
      <c r="C4" s="6" t="inlineStr">
        <is>
          <t>Returns</t>
        </is>
      </c>
    </row>
    <row r="5">
      <c r="A5" s="7" t="inlineStr">
        <is>
          <t>Android and iOS builds</t>
        </is>
      </c>
      <c r="B5" s="9" t="inlineStr">
        <is>
          <t>No hypothesis depends on them; architecture already protects portability.</t>
        </is>
      </c>
      <c r="C5" s="9" t="inlineStr">
        <is>
          <t>After MVP (learning stage 11)</t>
        </is>
      </c>
    </row>
    <row r="6">
      <c r="A6" s="7" t="inlineStr">
        <is>
          <t>Ages 2-10, Mythic Strands, Phase 2 space</t>
        </is>
      </c>
      <c r="B6" s="9" t="inlineStr">
        <is>
          <t>Each is a content project; the MVP must first prove Age 1 is fun.</t>
        </is>
      </c>
      <c r="C6" s="9" t="inlineStr">
        <is>
          <t>Post-MVP roadmap</t>
        </is>
      </c>
    </row>
    <row r="7">
      <c r="A7" s="7" t="inlineStr">
        <is>
          <t>Whole planet, prehistory world-gen, LOD tiers Remote and Planet</t>
        </is>
      </c>
      <c r="B7" s="9" t="inlineStr">
        <is>
          <t>A region is enough to test the loop; planet scale is a performance project of its own.</t>
        </is>
      </c>
      <c r="C7" s="9" t="inlineStr">
        <is>
          <t>Next</t>
        </is>
      </c>
    </row>
    <row r="8">
      <c r="A8" s="7" t="inlineStr">
        <is>
          <t>Military, Politics, Technology, Ideology pillars</t>
        </is>
      </c>
      <c r="B8" s="9" t="inlineStr">
        <is>
          <t>Two pillars are enough to test 'many paths to dominance'; combat is the most expensive system.</t>
        </is>
      </c>
      <c r="C8" s="9" t="inlineStr">
        <is>
          <t>Next (Politics), Later (others)</t>
        </is>
      </c>
    </row>
    <row r="9">
      <c r="A9" s="7" t="inlineStr">
        <is>
          <t>Dynasty, Reincarnation, Rotating Avatar modes</t>
        </is>
      </c>
      <c r="B9" s="9" t="inlineStr">
        <is>
          <t>One mode tests the loop; the Succession system is built so others are configuration later.</t>
        </is>
      </c>
      <c r="C9" s="9" t="inlineStr">
        <is>
          <t>Next (Dynasty)</t>
        </is>
      </c>
    </row>
    <row r="10">
      <c r="A10" s="7" t="inlineStr">
        <is>
          <t>Character Creator, Origin/Tribe, Legend modifiers</t>
        </is>
      </c>
      <c r="B10" s="9" t="inlineStr">
        <is>
          <t>Unlocks need progression that the MVP does not have yet.</t>
        </is>
      </c>
      <c r="C10" s="9" t="inlineStr">
        <is>
          <t>Next</t>
        </is>
      </c>
    </row>
    <row r="11">
      <c r="A11" s="7" t="inlineStr">
        <is>
          <t>Ideology Forge, custom titles</t>
        </is>
      </c>
      <c r="B11" s="9" t="inlineStr">
        <is>
          <t>Depend on cut pillars.</t>
        </is>
      </c>
      <c r="C11" s="9" t="inlineStr">
        <is>
          <t>Later</t>
        </is>
      </c>
    </row>
    <row r="12">
      <c r="A12" s="7" t="inlineStr">
        <is>
          <t>Real art pipeline, music</t>
        </is>
      </c>
      <c r="B12" s="9" t="inlineStr">
        <is>
          <t>Placeholder art is enough to test fun; art is expensive to redo.</t>
        </is>
      </c>
      <c r="C12" s="9" t="inlineStr">
        <is>
          <t>After the fun is proven</t>
        </is>
      </c>
    </row>
    <row r="13">
      <c r="A13" s="7" t="inlineStr">
        <is>
          <t>Steam integration, achievements, cloud saves</t>
        </is>
      </c>
      <c r="B13" s="9" t="inlineStr">
        <is>
          <t>Distribution is not the MVP question (OPEN-18).</t>
        </is>
      </c>
      <c r="C13" s="9" t="inlineStr">
        <is>
          <t>Launch</t>
        </is>
      </c>
    </row>
    <row r="14">
      <c r="A14" s="7" t="inlineStr">
        <is>
          <t>Advanced physics and chemistry (explosions, vehicles, orbits, heat, fire spread, reactions)</t>
        </is>
      </c>
      <c r="B14" s="9" t="inlineStr">
        <is>
          <t>Age 1 needs hit detection, ballistics, basic bodies and material properties only; the rest belongs to later Ages.</t>
        </is>
      </c>
      <c r="C14" s="9" t="inlineStr">
        <is>
          <t>With the Age that needs it (PHY-05, PHY-06)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Definition of Ready and Definition of Done</t>
        </is>
      </c>
    </row>
    <row r="2">
      <c r="A2" s="2" t="inlineStr">
        <is>
          <t>Apply to every story.</t>
        </is>
      </c>
    </row>
    <row r="4">
      <c r="A4" s="6" t="inlineStr">
        <is>
          <t>Definition of Ready: a story may start when...</t>
        </is>
      </c>
    </row>
    <row r="5">
      <c r="A5" s="9" t="inlineStr">
        <is>
          <t>The story traces to an MVP scope item or a requirement.</t>
        </is>
      </c>
    </row>
    <row r="6">
      <c r="A6" s="9" t="inlineStr">
        <is>
          <t>Its design dependencies are Decided (see Dependencies).</t>
        </is>
      </c>
    </row>
    <row r="7">
      <c r="A7" s="9" t="inlineStr">
        <is>
          <t>Acceptance criteria are testable and agreed.</t>
        </is>
      </c>
    </row>
    <row r="8">
      <c r="A8" s="9" t="inlineStr">
        <is>
          <t>It fits in one milestone; if larger than L, it is split first.</t>
        </is>
      </c>
    </row>
    <row r="10">
      <c r="A10" s="6" t="inlineStr">
        <is>
          <t>Definition of Done: a story is Done when...</t>
        </is>
      </c>
    </row>
    <row r="11">
      <c r="A11" s="9" t="inlineStr">
        <is>
          <t>Code compiles with zero warnings in Debug and Release (x64).</t>
        </is>
      </c>
    </row>
    <row r="12">
      <c r="A12" s="9" t="inlineStr">
        <is>
          <t>All acceptance criteria verified; automated tests written where the story is testable headless.</t>
        </is>
      </c>
    </row>
    <row r="13">
      <c r="A13" s="9" t="inlineStr">
        <is>
          <t>CI is green on the main branch.</t>
        </is>
      </c>
    </row>
    <row r="14">
      <c r="A14" s="9" t="inlineStr">
        <is>
          <t>No layer rule broken (Simulation does not include Engine, Platform or SDL3).</t>
        </is>
      </c>
    </row>
    <row r="15">
      <c r="A15" s="9" t="inlineStr">
        <is>
          <t>Determinism test still passes.</t>
        </is>
      </c>
    </row>
    <row r="16">
      <c r="A16" s="9" t="inlineStr">
        <is>
          <t>Code reviewed with Dominus; anything unclear explained in the learning journal.</t>
        </is>
      </c>
    </row>
    <row r="17">
      <c r="A17" s="9" t="inlineStr">
        <is>
          <t>Requirements document updated if behaviour differs from what it says.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2026-09-29T19:32:09Z</dcterms:created>
  <dcterms:modified xmlns:dcterms="http://purl.org/dc/terms/" xmlns:xsi="http://www.w3.org/2001/XMLSchema-instance" xsi:type="dcterms:W3CDTF">2026-09-30T05:56:03Z</dcterms:modified>
</cp:coreProperties>
</file>