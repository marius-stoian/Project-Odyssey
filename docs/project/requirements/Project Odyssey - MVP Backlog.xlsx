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v2.6, chapter 12; this workbook is generated from the same data. Updated 2026-10-01: D-47 (housekeeping).</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every scope item Decided by the owner (D-47, 2026-10-01).</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Decided</t>
        </is>
      </c>
      <c r="E9" s="9" t="inlineStr">
        <is>
          <t>PLT-01, PLT-02</t>
        </is>
      </c>
    </row>
    <row r="10">
      <c r="A10" s="7" t="inlineStr">
        <is>
          <t>MVP-02</t>
        </is>
      </c>
      <c r="B10" s="9" t="inlineStr">
        <is>
          <t>Age</t>
        </is>
      </c>
      <c r="C10" s="9" t="inlineStr">
        <is>
          <t>Age 1 only: Late Paleolithic, Age of Embers (c. 40,000 BCE).</t>
        </is>
      </c>
      <c r="D10" s="9" t="inlineStr">
        <is>
          <t>Decided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Decided</t>
        </is>
      </c>
      <c r="E11" s="9" t="inlineStr">
        <is>
          <t>ENV-03, ARC-06, OPEN-02</t>
        </is>
      </c>
    </row>
    <row r="12">
      <c r="A12" s="7" t="inlineStr">
        <is>
          <t>MVP-04</t>
        </is>
      </c>
      <c r="B12" s="9" t="inlineStr">
        <is>
          <t>Game Mode</t>
        </is>
      </c>
      <c r="C12" s="9" t="inlineStr">
        <is>
          <t>One Hero per Age only (smallest scope, recommended first mode).</t>
        </is>
      </c>
      <c r="D12" s="9" t="inlineStr">
        <is>
          <t>Decided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Decided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Decided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Decided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Decided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Decided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Decided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51" customHeight="1" s="20"/>
    <row r="26" ht="63.75" customHeight="1" s="20">
      <c r="A26" s="5" t="inlineStr">
        <is>
          <t>Success and kill criteria (decided before building)</t>
        </is>
      </c>
    </row>
    <row r="27" ht="38.25" customHeight="1" s="20">
      <c r="A27" s="6" t="inlineStr">
        <is>
          <t>Metric</t>
        </is>
      </c>
      <c r="B27" s="6" t="inlineStr">
        <is>
          <t>Target</t>
        </is>
      </c>
      <c r="C27" s="6" t="inlineStr">
        <is>
          <t>How measured</t>
        </is>
      </c>
      <c r="D27" s="6" t="inlineStr">
        <is>
          <t>Gate</t>
        </is>
      </c>
    </row>
    <row r="28" ht="63.75" customHeight="1" s="20">
      <c r="A28" s="7" t="inlineStr">
        <is>
          <t>Voluntary play time</t>
        </is>
      </c>
      <c r="B28" s="9" t="inlineStr">
        <is>
          <t>5 of 8 playtesters play 30+ minutes without being asked to continue</t>
        </is>
      </c>
      <c r="C28" s="9" t="inlineStr">
        <is>
          <t>Observation + local session log (US-092)</t>
        </is>
      </c>
      <c r="D28" s="9" t="inlineStr">
        <is>
          <t>M6</t>
        </is>
      </c>
    </row>
    <row r="29" ht="51" customHeight="1" s="20">
      <c r="A29" s="7" t="inlineStr">
        <is>
          <t>Emergent story</t>
        </is>
      </c>
      <c r="B29" s="9" t="inlineStr">
        <is>
          <t>3 of 8 can retell a story that came from the simulation, not from a script</t>
        </is>
      </c>
      <c r="C29" s="9" t="inlineStr">
        <is>
          <t>Post-play interview</t>
        </is>
      </c>
      <c r="D29" s="9" t="inlineStr">
        <is>
          <t>M6</t>
        </is>
      </c>
    </row>
    <row r="30" ht="51" customHeight="1" s="20">
      <c r="A30" s="7" t="inlineStr">
        <is>
          <t>Chronicle interest (early)</t>
        </is>
      </c>
      <c r="B30" s="9" t="inlineStr">
        <is>
          <t>2 of 3 readers find a story in the console chronicle</t>
        </is>
      </c>
      <c r="C30" s="9" t="inlineStr">
        <is>
          <t>Show printed chronicle (M2: 3 readers, failed 2026-09-30; M2b retry: the owner reads and judges)</t>
        </is>
      </c>
      <c r="D30" s="9" t="inlineStr">
        <is>
          <t>M2, retried at M2b</t>
        </is>
      </c>
    </row>
    <row r="31" ht="63.75" customHeight="1" s="20">
      <c r="A31" s="7" t="inlineStr">
        <is>
          <t>Frame rate</t>
        </is>
      </c>
      <c r="B31" s="9" t="inlineStr">
        <is>
          <t>60 FPS with 500 simulated agents in the region on the minimum PC (OPEN-19)</t>
        </is>
      </c>
      <c r="C31" s="9" t="inlineStr">
        <is>
          <t>FPS overlay (US-082)</t>
        </is>
      </c>
      <c r="D31" s="9" t="inlineStr">
        <is>
          <t>M5</t>
        </is>
      </c>
    </row>
    <row r="32">
      <c r="A32" s="7" t="inlineStr">
        <is>
          <t>Determinism</t>
        </is>
      </c>
      <c r="B32" s="9" t="inlineStr">
        <is>
          <t>Same seed + inputs give the same world hash after 10,000 ticks</t>
        </is>
      </c>
      <c r="C32" s="9" t="inlineStr">
        <is>
          <t>Automated test in CI</t>
        </is>
      </c>
      <c r="D32" s="9" t="inlineStr">
        <is>
          <t>M2 onwards</t>
        </is>
      </c>
    </row>
    <row r="33">
      <c r="A33" s="7" t="inlineStr">
        <is>
          <t>Stability</t>
        </is>
      </c>
      <c r="B33" s="9" t="inlineStr">
        <is>
          <t>No crash in a 2-hour play session or a 100-year soak test</t>
        </is>
      </c>
      <c r="C33" s="9" t="inlineStr">
        <is>
          <t>Soak test + crash log</t>
        </is>
      </c>
      <c r="D33" s="9" t="inlineStr">
        <is>
          <t>M5, M6</t>
        </is>
      </c>
    </row>
    <row r="34">
      <c r="A34" s="7" t="inlineStr">
        <is>
          <t>Kill / pivot rule</t>
        </is>
      </c>
      <c r="B34" s="9" t="inlineStr">
        <is>
          <t>If M2 or M6 fails: stop adding content; redesign the simulation or the loop first</t>
        </is>
      </c>
      <c r="C34" s="9" t="inlineStr">
        <is>
          <t>Owner decision, recorded</t>
        </is>
      </c>
      <c r="D34"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O35"/>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M8d</t>
        </is>
      </c>
      <c r="B21" s="9" t="inlineStr">
        <is>
          <t>Buildings</t>
        </is>
      </c>
      <c r="C21" s="9" t="inlineStr">
        <is>
          <t>-</t>
        </is>
      </c>
      <c r="D21" s="13" t="n">
        <v>8</v>
      </c>
      <c r="E21" s="13" t="n">
        <v>16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inlineStr">
        <is>
          <t>The hero builds from blueprints and piece by piece on a building grid, and rooms form; the owner composes prefabs from pieces in the Editor and places them in levels; prefabs marked buildable are offered as blueprints.</t>
        </is>
      </c>
    </row>
    <row r="22" ht="25.5" customHeight="1" s="20">
      <c r="A22" s="7" t="inlineStr">
        <is>
          <t>M8e</t>
        </is>
      </c>
      <c r="B22" s="9" t="inlineStr">
        <is>
          <t>Building life</t>
        </is>
      </c>
      <c r="C22" s="9" t="inlineStr">
        <is>
          <t>-</t>
        </is>
      </c>
      <c r="D22" s="13" t="n">
        <v>6</v>
      </c>
      <c r="E22" s="13" t="n">
        <v>12</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inlineStr">
        <is>
          <t>Clan members help build and rival clans build; each building fades its roof or opens an interior map as set in the Editor; buildings wear, are repaired, take damage, burn and fall; they shelter, warm and store for the clan and are saved.</t>
        </is>
      </c>
    </row>
    <row r="23" ht="25.5" customHeight="1" s="20">
      <c r="A23" s="7" t="inlineStr">
        <is>
          <t>M9</t>
        </is>
      </c>
      <c r="B23" s="9" t="inlineStr">
        <is>
          <t>Interaction and dialogue editor</t>
        </is>
      </c>
      <c r="C23" s="9" t="inlineStr">
        <is>
          <t>-</t>
        </is>
      </c>
      <c r="D23" s="13" t="n">
        <v>8</v>
      </c>
      <c r="E23" s="13" t="n">
        <v>16</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inlineStr">
        <is>
          <t>The owner opens any dialogue or interaction in the Editor as a graph, edits it, test-plays it and saves it, and the file still reads well in a text editor.</t>
        </is>
      </c>
    </row>
    <row r="24" ht="25.5" customHeight="1" s="20">
      <c r="A24" s="7" t="inlineStr">
        <is>
          <t>M10</t>
        </is>
      </c>
      <c r="B24" s="9" t="inlineStr">
        <is>
          <t>Quests and story authoring</t>
        </is>
      </c>
      <c r="C24" s="9" t="inlineStr">
        <is>
          <t>-</t>
        </is>
      </c>
      <c r="D24" s="13" t="n">
        <v>9</v>
      </c>
      <c r="E24" s="13" t="n">
        <v>18</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5" ht="25.5" customHeight="1" s="20">
      <c r="A25" s="7" t="inlineStr">
        <is>
          <t>M11</t>
        </is>
      </c>
      <c r="B25" s="9" t="inlineStr">
        <is>
          <t>Data editors</t>
        </is>
      </c>
      <c r="C25" s="9" t="inlineStr">
        <is>
          <t>-</t>
        </is>
      </c>
      <c r="D25" s="13" t="n">
        <v>9</v>
      </c>
      <c r="E25" s="13" t="n">
        <v>18</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Every data file has a schema; the owner edits any entity, mechanic, story tuning value, game rule and daily routine in Editor forms with pickers and validation, and the running game reloads it.</t>
        </is>
      </c>
    </row>
    <row r="26" ht="25.5" customHeight="1" s="20">
      <c r="A26" s="7" t="inlineStr">
        <is>
          <t>M12</t>
        </is>
      </c>
      <c r="B26" s="9" t="inlineStr">
        <is>
          <t>World editing</t>
        </is>
      </c>
      <c r="C26" s="9" t="inlineStr">
        <is>
          <t>-</t>
        </is>
      </c>
      <c r="D26" s="13" t="n">
        <v>10</v>
      </c>
      <c r="E26" s="13" t="n">
        <v>21</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27" ht="25.5" customHeight="1" s="20">
      <c r="A27" s="7" t="inlineStr">
        <is>
          <t>M13</t>
        </is>
      </c>
      <c r="B27" s="9" t="inlineStr">
        <is>
          <t>Politics</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Clans form alliances and vassal oaths, hold elders' councils, bind themselves by marriage, challenge leaders and use trade and craft knowledge as levers; the player can win the region through Politics; every political rule is editable in the Editor.</t>
        </is>
      </c>
    </row>
    <row r="28" ht="25.5" customHeight="1" s="20">
      <c r="A28" s="7" t="inlineStr">
        <is>
          <t>M14</t>
        </is>
      </c>
      <c r="B28" s="9" t="inlineStr">
        <is>
          <t>Technology</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29" ht="25.5" customHeight="1" s="20">
      <c r="A29" s="7" t="inlineStr">
        <is>
          <t>M6</t>
        </is>
      </c>
      <c r="B29" s="9" t="inlineStr">
        <is>
          <t>Playtest and go/no-go (KILL GATE 2)</t>
        </is>
      </c>
      <c r="C29" s="9" t="inlineStr">
        <is>
          <t>-</t>
        </is>
      </c>
      <c r="D29" s="13" t="n">
        <v>3</v>
      </c>
      <c r="E29" s="13" t="n">
        <v>4</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8 outside playtesters play; success criteria measured; go/no-go decision recorded. Held after M14 (owner, 2026-10-01, D-41).</t>
        </is>
      </c>
    </row>
    <row r="30" s="20">
      <c r="A30" s="7" t="n"/>
      <c r="B30" s="7" t="inlineStr">
        <is>
          <t>MVP total</t>
        </is>
      </c>
      <c r="C30" s="7" t="n"/>
      <c r="D30" s="7">
        <f>SUM(D7:D29)</f>
        <v/>
      </c>
      <c r="E30" s="7">
        <f>SUM(E7:E29)</f>
        <v/>
      </c>
      <c r="F30" s="7">
        <f>SUM(F7:F29)</f>
        <v/>
      </c>
      <c r="G30" s="7" t="n"/>
      <c r="H30" s="7">
        <f>H29</f>
        <v/>
      </c>
      <c r="I30" s="15">
        <f>I7</f>
        <v/>
      </c>
      <c r="J30" s="15">
        <f>J29</f>
        <v/>
      </c>
      <c r="K30" s="15">
        <f>K29</f>
        <v/>
      </c>
      <c r="L30" s="15">
        <f>L29</f>
        <v/>
      </c>
      <c r="M30" s="7" t="n"/>
      <c r="N30" s="7" t="inlineStr">
        <is>
          <t>Months (likely) = weeks / 4.33</t>
        </is>
      </c>
    </row>
    <row r="31" ht="27.95" customHeight="1" s="20">
      <c r="A31" s="7" t="n"/>
      <c r="B31" s="7" t="inlineStr">
        <is>
          <t>In months</t>
        </is>
      </c>
      <c r="C31" s="7" t="n"/>
      <c r="D31" s="7">
        <f>ROUND(D30/4.33,1)</f>
        <v/>
      </c>
      <c r="E31" s="7">
        <f>ROUND(E30/4.33,1)</f>
        <v/>
      </c>
      <c r="F31" s="7">
        <f>ROUND(F30/4.33,1)</f>
        <v/>
      </c>
      <c r="G31" s="7" t="n"/>
      <c r="H31" s="7" t="n"/>
      <c r="I31" s="7" t="n"/>
      <c r="J31" s="7" t="n"/>
      <c r="K31" s="7" t="n"/>
      <c r="L31" s="7" t="n"/>
      <c r="M31" s="7" t="n"/>
      <c r="N31" s="7" t="n"/>
    </row>
    <row r="32" ht="27.95" customHeight="1" s="20"/>
    <row r="33" ht="27.95" customHeight="1" s="20">
      <c r="B33" s="19" t="inlineStr">
        <is>
          <t>Why the estimate grew: the learning path (requirements, section 8.3) estimated 9-13 months top-down. The bottom-up sum of the MVP stories is higher; this sheet uses the bottom-up figure.</t>
        </is>
      </c>
    </row>
    <row r="34" s="20">
      <c r="B34" s="19" t="inlineStr">
        <is>
          <t>Buffer: the 'Should' stories are the cut list if time runs short. Cutting all of them saves about 5-11 weeks.</t>
        </is>
      </c>
    </row>
    <row r="35" ht="102" customHeight="1" s="20">
      <c r="B35" s="19" t="inlineStr">
        <is>
          <t>Kill gates: M2 (failed 2026-09-30, passed at the M2b retry) and M6 (do playtesters stay?), held after M14 (D-41). Critical path: M0 &gt; M1 &gt; M1b &gt; M2 &gt; M2b &gt; M2c &gt; M2d &gt; M3 &gt; M4 &gt; M5 &gt; M7 &gt; M8 &gt; M8b &gt; M8c &gt; M8d &gt; M8e &gt; M9 &gt; M10 &gt; M11 &gt; M12 &gt; M13 &gt; M14 &gt; M6. Dates of M2c onwards are not re-planned yet.</t>
        </is>
      </c>
    </row>
  </sheetData>
  <mergeCells count="3">
    <mergeCell ref="B35:N35"/>
    <mergeCell ref="B34:N34"/>
    <mergeCell ref="B33:N33"/>
  </mergeCells>
  <conditionalFormatting sqref="P7:JO29">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Decided (closed, D-47)</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Decided (closed, D-47)</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Superseded (D-40, D-41)</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Decided (closed, D-47)</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row r="32">
      <c r="A32" s="7" t="inlineStr">
        <is>
          <t>D-47</t>
        </is>
      </c>
      <c r="B32" s="9" t="inlineStr">
        <is>
          <t>Housekeeping: stale decisions closed, MVP scope Decided, STO-01/SDC-01 absorbed, 10 s first-frame limit on CI with the 3 s check on the owner PC at exits, reading PDFs stay on Drive</t>
        </is>
      </c>
      <c r="C32" s="9" t="inlineStr">
        <is>
          <t>Process decision</t>
        </is>
      </c>
      <c r="D32" s="9" t="inlineStr">
        <is>
          <t>M8b</t>
        </is>
      </c>
      <c r="E32" s="9" t="inlineStr">
        <is>
          <t>all</t>
        </is>
      </c>
      <c r="F32" s="9" t="inlineStr">
        <is>
          <t>Owner</t>
        </is>
      </c>
      <c r="G32"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c r="A31" s="7" t="n"/>
      <c r="B31" s="7" t="inlineStr">
        <is>
          <t>Total</t>
        </is>
      </c>
      <c r="C31" s="7" t="n"/>
      <c r="D31" s="7" t="n"/>
      <c r="E31" s="7">
        <f>SUM(E5:E30)</f>
        <v/>
      </c>
      <c r="F31" s="7">
        <f>SUM(F5:F30)</f>
        <v/>
      </c>
      <c r="G31" s="7">
        <f>SUM(G5:G30)</f>
        <v/>
      </c>
      <c r="H31" s="7">
        <f>SUM(H5:H30)</f>
        <v/>
      </c>
      <c r="I31" s="7">
        <f>SUM(I5:I30)</f>
        <v/>
      </c>
      <c r="J31" s="18">
        <f>IFERROR(I31/E31,0)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5"/>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To do</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windowed (with sizes), borderless or exclusive full screen
Then the mode changes at once and is saved
Scenario: Odd sizes
Given a 2560x1440 screen
When the game runs
Then it scales by 2 with a thin border, or fills the screen smoothly if the player chooses Fill</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lighting and buildings (owner, 2026-10-01, D-42)</t>
        </is>
      </c>
      <c r="O136" s="16" t="inlineStr">
        <is>
          <t>To do</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Then the view shows 1x (30 x 17 tiles) and back, around the hero
Scenario: UI
Given UI scale 1x and 2x
When the player switches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Resolution, lighting and buildings (owner, 2026-10-01, D-42)</t>
        </is>
      </c>
      <c r="O137" s="16" t="inlineStr">
        <is>
          <t>To do</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To do</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To do</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To do</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To do</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To do</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To do</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To do</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To do</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To do</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To do</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To do</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To do</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To do</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To do</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To do</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To do</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To do</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2026-10-01T17:03:00Z</dcterms:modified>
  <cp:lastModifiedBy>Amek</cp:lastModifiedBy>
</cp:coreProperties>
</file>