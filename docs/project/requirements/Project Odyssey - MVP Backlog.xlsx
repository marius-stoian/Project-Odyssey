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v2.2, chapter 12; this workbook is generated from the same data. Updated 2026-10-01: M10-M14 added (D-40, D-41).</t>
        </is>
      </c>
    </row>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Status 'Proposed' = awaiting your decision.</t>
        </is>
      </c>
    </row>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Proposed</t>
        </is>
      </c>
      <c r="E9" s="9" t="inlineStr">
        <is>
          <t>PLT-01, PLT-02</t>
        </is>
      </c>
    </row>
    <row r="10">
      <c r="A10" s="7" t="inlineStr">
        <is>
          <t>MVP-02</t>
        </is>
      </c>
      <c r="B10" s="9" t="inlineStr">
        <is>
          <t>Age</t>
        </is>
      </c>
      <c r="C10" s="9" t="inlineStr">
        <is>
          <t>Age 1 only: Late Paleolithic, Age of Embers (c. 40,000 BCE).</t>
        </is>
      </c>
      <c r="D10" s="9" t="inlineStr">
        <is>
          <t>Proposed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Proposed</t>
        </is>
      </c>
      <c r="E11" s="9" t="inlineStr">
        <is>
          <t>ENV-03, ARC-06, OPEN-02</t>
        </is>
      </c>
    </row>
    <row r="12">
      <c r="A12" s="7" t="inlineStr">
        <is>
          <t>MVP-04</t>
        </is>
      </c>
      <c r="B12" s="9" t="inlineStr">
        <is>
          <t>Game Mode</t>
        </is>
      </c>
      <c r="C12" s="9" t="inlineStr">
        <is>
          <t>One Hero per Age only (smallest scope, recommended first mode).</t>
        </is>
      </c>
      <c r="D12" s="9" t="inlineStr">
        <is>
          <t>Proposed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Proposed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Proposed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Proposed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Proposed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Proposed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t>
        </is>
      </c>
      <c r="D19" s="9" t="inlineStr">
        <is>
          <t>Proposed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row r="25" ht="51" customHeight="1" s="20">
      <c r="A25" s="5" t="inlineStr">
        <is>
          <t>Success and kill criteria (decided before building)</t>
        </is>
      </c>
    </row>
    <row r="26" ht="63.75" customHeight="1" s="20">
      <c r="A26" s="6" t="inlineStr">
        <is>
          <t>Metric</t>
        </is>
      </c>
      <c r="B26" s="6" t="inlineStr">
        <is>
          <t>Target</t>
        </is>
      </c>
      <c r="C26" s="6" t="inlineStr">
        <is>
          <t>How measured</t>
        </is>
      </c>
      <c r="D26" s="6" t="inlineStr">
        <is>
          <t>Gate</t>
        </is>
      </c>
    </row>
    <row r="27" ht="38.25" customHeight="1" s="20">
      <c r="A27" s="7" t="inlineStr">
        <is>
          <t>Voluntary play time</t>
        </is>
      </c>
      <c r="B27" s="9" t="inlineStr">
        <is>
          <t>5 of 8 playtesters play 30+ minutes without being asked to continue</t>
        </is>
      </c>
      <c r="C27" s="9" t="inlineStr">
        <is>
          <t>Observation + local session log (US-092)</t>
        </is>
      </c>
      <c r="D27" s="9" t="inlineStr">
        <is>
          <t>M6</t>
        </is>
      </c>
    </row>
    <row r="28" ht="63.75" customHeight="1" s="20">
      <c r="A28" s="7" t="inlineStr">
        <is>
          <t>Emergent story</t>
        </is>
      </c>
      <c r="B28" s="9" t="inlineStr">
        <is>
          <t>3 of 8 can retell a story that came from the simulation, not from a script</t>
        </is>
      </c>
      <c r="C28" s="9" t="inlineStr">
        <is>
          <t>Post-play interview</t>
        </is>
      </c>
      <c r="D28" s="9" t="inlineStr">
        <is>
          <t>M6</t>
        </is>
      </c>
    </row>
    <row r="29" ht="51" customHeight="1" s="20">
      <c r="A29" s="7" t="inlineStr">
        <is>
          <t>Chronicle interest (early)</t>
        </is>
      </c>
      <c r="B29" s="9" t="inlineStr">
        <is>
          <t>2 of 3 readers find a story in the console chronicle</t>
        </is>
      </c>
      <c r="C29" s="9" t="inlineStr">
        <is>
          <t>Show printed chronicle (M2: 3 readers, failed 2026-09-30; M2b retry: the owner reads and judges)</t>
        </is>
      </c>
      <c r="D29" s="9" t="inlineStr">
        <is>
          <t>M2, retried at M2b</t>
        </is>
      </c>
    </row>
    <row r="30" ht="51" customHeight="1" s="20">
      <c r="A30" s="7" t="inlineStr">
        <is>
          <t>Frame rate</t>
        </is>
      </c>
      <c r="B30" s="9" t="inlineStr">
        <is>
          <t>60 FPS with 500 simulated agents in the region on the minimum PC (OPEN-19)</t>
        </is>
      </c>
      <c r="C30" s="9" t="inlineStr">
        <is>
          <t>FPS overlay (US-082)</t>
        </is>
      </c>
      <c r="D30" s="9" t="inlineStr">
        <is>
          <t>M5</t>
        </is>
      </c>
    </row>
    <row r="31" ht="63.75" customHeight="1" s="20">
      <c r="A31" s="7" t="inlineStr">
        <is>
          <t>Determinism</t>
        </is>
      </c>
      <c r="B31" s="9" t="inlineStr">
        <is>
          <t>Same seed + inputs give the same world hash after 10,000 ticks</t>
        </is>
      </c>
      <c r="C31" s="9" t="inlineStr">
        <is>
          <t>Automated test in CI</t>
        </is>
      </c>
      <c r="D31" s="9" t="inlineStr">
        <is>
          <t>M2 onwards</t>
        </is>
      </c>
    </row>
    <row r="32">
      <c r="A32" s="7" t="inlineStr">
        <is>
          <t>Stability</t>
        </is>
      </c>
      <c r="B32" s="9" t="inlineStr">
        <is>
          <t>No crash in a 2-hour play session or a 100-year soak test</t>
        </is>
      </c>
      <c r="C32" s="9" t="inlineStr">
        <is>
          <t>Soak test + crash log</t>
        </is>
      </c>
      <c r="D32" s="9" t="inlineStr">
        <is>
          <t>M5, M6</t>
        </is>
      </c>
    </row>
    <row r="33">
      <c r="A33" s="7" t="inlineStr">
        <is>
          <t>Kill / pivot rule</t>
        </is>
      </c>
      <c r="B33" s="9" t="inlineStr">
        <is>
          <t>If M2 or M6 fails: stop adding content; redesign the simulation or the loop first</t>
        </is>
      </c>
      <c r="C33" s="9" t="inlineStr">
        <is>
          <t>Owner decision, recorded</t>
        </is>
      </c>
      <c r="D33"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A31"/>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M9</t>
        </is>
      </c>
      <c r="B19" s="9" t="inlineStr">
        <is>
          <t>Interaction and dialogue editor</t>
        </is>
      </c>
      <c r="C19" s="9" t="inlineStr">
        <is>
          <t>-</t>
        </is>
      </c>
      <c r="D19" s="13" t="n">
        <v>8</v>
      </c>
      <c r="E19" s="13" t="n">
        <v>16</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owner opens any dialogue or interaction in the Editor as a graph, edits it, test-plays it and saves it, and the file still reads well in a text editor.</t>
        </is>
      </c>
    </row>
    <row r="20" ht="25.5" customHeight="1" s="20">
      <c r="A20" s="7" t="inlineStr">
        <is>
          <t>M10</t>
        </is>
      </c>
      <c r="B20" s="9" t="inlineStr">
        <is>
          <t>Quests and story authoring</t>
        </is>
      </c>
      <c r="C20" s="9" t="inlineStr">
        <is>
          <t>-</t>
        </is>
      </c>
      <c r="D20" s="13" t="n">
        <v>9</v>
      </c>
      <c r="E20" s="13" t="n">
        <v>18</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1" ht="25.5" customHeight="1" s="20">
      <c r="A21" s="7" t="inlineStr">
        <is>
          <t>M11</t>
        </is>
      </c>
      <c r="B21" s="9" t="inlineStr">
        <is>
          <t>Data editors</t>
        </is>
      </c>
      <c r="C21" s="9" t="inlineStr">
        <is>
          <t>-</t>
        </is>
      </c>
      <c r="D21" s="13" t="n">
        <v>9</v>
      </c>
      <c r="E21" s="13" t="n">
        <v>18</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inlineStr">
        <is>
          <t>Every data file has a schema; the owner edits any entity, mechanic, story tuning value, game rule and daily routine in Editor forms with pickers and validation, and the running game reloads it.</t>
        </is>
      </c>
    </row>
    <row r="22" ht="25.5" customHeight="1" s="20">
      <c r="A22" s="7" t="inlineStr">
        <is>
          <t>M12</t>
        </is>
      </c>
      <c r="B22" s="9" t="inlineStr">
        <is>
          <t>World editing</t>
        </is>
      </c>
      <c r="C22" s="9" t="inlineStr">
        <is>
          <t>-</t>
        </is>
      </c>
      <c r="D22" s="13" t="n">
        <v>10</v>
      </c>
      <c r="E22" s="13" t="n">
        <v>21</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23" ht="25.5" customHeight="1" s="20">
      <c r="A23" s="7" t="inlineStr">
        <is>
          <t>M13</t>
        </is>
      </c>
      <c r="B23" s="9" t="inlineStr">
        <is>
          <t>Politics</t>
        </is>
      </c>
      <c r="C23" s="9" t="inlineStr">
        <is>
          <t>-</t>
        </is>
      </c>
      <c r="D23" s="13" t="n">
        <v>9</v>
      </c>
      <c r="E23" s="13" t="n">
        <v>18</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inlineStr">
        <is>
          <t>Clans form alliances and vassal oaths, hold elders' councils, bind themselves by marriage, challenge leaders and use trade and craft knowledge as levers; the player can win the region through Politics; every political rule is editable in the Editor.</t>
        </is>
      </c>
    </row>
    <row r="24" ht="25.5" customHeight="1" s="20">
      <c r="A24" s="7" t="inlineStr">
        <is>
          <t>M14</t>
        </is>
      </c>
      <c r="B24" s="9" t="inlineStr">
        <is>
          <t>Technology</t>
        </is>
      </c>
      <c r="C24" s="9" t="inlineStr">
        <is>
          <t>-</t>
        </is>
      </c>
      <c r="D24" s="13" t="n">
        <v>9</v>
      </c>
      <c r="E24" s="13" t="n">
        <v>18</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25" ht="25.5" customHeight="1" s="20">
      <c r="A25" s="7" t="inlineStr">
        <is>
          <t>M6</t>
        </is>
      </c>
      <c r="B25" s="9" t="inlineStr">
        <is>
          <t>Playtest and go/no-go (KILL GATE 2)</t>
        </is>
      </c>
      <c r="C25" s="9" t="inlineStr">
        <is>
          <t>-</t>
        </is>
      </c>
      <c r="D25" s="13" t="n">
        <v>3</v>
      </c>
      <c r="E25" s="13" t="n">
        <v>4</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8 outside playtesters play; success criteria measured; go/no-go decision recorded. Held after M14 (owner, 2026-10-01, D-41).</t>
        </is>
      </c>
    </row>
    <row r="26" s="20">
      <c r="A26" s="7" t="n"/>
      <c r="B26" s="7" t="inlineStr">
        <is>
          <t>MVP total</t>
        </is>
      </c>
      <c r="C26" s="7" t="n"/>
      <c r="D26" s="7">
        <f>SUM(D7:D25)</f>
        <v/>
      </c>
      <c r="E26" s="7">
        <f>SUM(E7:E25)</f>
        <v/>
      </c>
      <c r="F26" s="7">
        <f>SUM(F7:F25)</f>
        <v/>
      </c>
      <c r="G26" s="7" t="n"/>
      <c r="H26" s="7">
        <f>H25</f>
        <v/>
      </c>
      <c r="I26" s="15">
        <f>I7</f>
        <v/>
      </c>
      <c r="J26" s="15">
        <f>J25</f>
        <v/>
      </c>
      <c r="K26" s="15">
        <f>K25</f>
        <v/>
      </c>
      <c r="L26" s="15">
        <f>L25</f>
        <v/>
      </c>
      <c r="M26" s="7" t="n"/>
      <c r="N26" s="7" t="inlineStr">
        <is>
          <t>Months (likely) = weeks / 4.33</t>
        </is>
      </c>
    </row>
    <row r="27" ht="27.95" customHeight="1" s="20">
      <c r="A27" s="7" t="n"/>
      <c r="B27" s="7" t="inlineStr">
        <is>
          <t>In months</t>
        </is>
      </c>
      <c r="C27" s="7" t="n"/>
      <c r="D27" s="7">
        <f>ROUND(D26/4.33,1)</f>
        <v/>
      </c>
      <c r="E27" s="7">
        <f>ROUND(E26/4.33,1)</f>
        <v/>
      </c>
      <c r="F27" s="7">
        <f>ROUND(F26/4.33,1)</f>
        <v/>
      </c>
      <c r="G27" s="7" t="n"/>
      <c r="H27" s="7" t="n"/>
      <c r="I27" s="7" t="n"/>
      <c r="J27" s="7" t="n"/>
      <c r="K27" s="7" t="n"/>
      <c r="L27" s="7" t="n"/>
      <c r="M27" s="7" t="n"/>
      <c r="N27" s="7" t="n"/>
    </row>
    <row r="28" ht="27.95" customHeight="1" s="20"/>
    <row r="29" ht="27.95" customHeight="1" s="20">
      <c r="B29" s="19" t="inlineStr">
        <is>
          <t>Why the estimate grew: the learning path (requirements, section 8.3) estimated 9-13 months top-down. The bottom-up sum of the MVP stories is higher; this sheet uses the bottom-up figure.</t>
        </is>
      </c>
    </row>
    <row r="30" s="20">
      <c r="B30" s="19" t="inlineStr">
        <is>
          <t>Buffer: the 'Should' stories are the cut list if time runs short. Cutting all of them saves about 5-11 weeks.</t>
        </is>
      </c>
    </row>
    <row r="31" ht="102" customHeight="1" s="20">
      <c r="B31" s="19" t="inlineStr">
        <is>
          <t>Kill gates: M2 (is the console chronicle interesting? failed 2026-09-30, passed at the M2b retry) and M6 (do playtesters stay?), held after M14 (D-41). Critical path: M0 &gt; M1 &gt; M1b &gt; M2 &gt; M2b &gt; M2c &gt; M2d &gt; M3 &gt; M4 &gt; M5 &gt; M7 &gt; M8 &gt; M9 &gt; M10 &gt; M11 &gt; M12 &gt; M13 &gt; M14 &gt; M6. Dates of M2c onwards are not re-planned yet.</t>
        </is>
      </c>
    </row>
  </sheetData>
  <mergeCells count="3">
    <mergeCell ref="B31:N31"/>
    <mergeCell ref="B30:N30"/>
    <mergeCell ref="B29:N29"/>
  </mergeCells>
  <conditionalFormatting sqref="P7:IA25">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t>
        </is>
      </c>
      <c r="C10" s="9" t="inlineStr">
        <is>
          <t>Design decision</t>
        </is>
      </c>
      <c r="D10" s="9" t="inlineStr">
        <is>
          <t>M4</t>
        </is>
      </c>
      <c r="E10" s="9" t="inlineStr">
        <is>
          <t>US-082</t>
        </is>
      </c>
      <c r="F10" s="9" t="inlineStr">
        <is>
          <t>Owner</t>
        </is>
      </c>
      <c r="G10" s="16" t="inlineStr">
        <is>
          <t>Open</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Open</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Proposed</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Proposed</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Open</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t>
        </is>
      </c>
    </row>
    <row r="19" ht="25.5" customHeight="1" s="20">
      <c r="A19" s="7" t="inlineStr">
        <is>
          <t>D-15</t>
        </is>
      </c>
      <c r="B19" s="9" t="inlineStr">
        <is>
          <t>Technical chain: M0 &gt; M1 &gt; M1b &gt; M2 &gt; M2b &gt; M2c &gt; M2d &gt; M3 &gt; M4 &gt; M5 &gt; M7 &gt; M8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c r="A27" s="7" t="n"/>
      <c r="B27" s="7" t="inlineStr">
        <is>
          <t>Total</t>
        </is>
      </c>
      <c r="C27" s="7" t="n"/>
      <c r="D27" s="7" t="n"/>
      <c r="E27" s="7">
        <f>SUM(E5:E26)</f>
        <v/>
      </c>
      <c r="F27" s="7">
        <f>SUM(F5:F26)</f>
        <v/>
      </c>
      <c r="G27" s="7">
        <f>SUM(G5:G26)</f>
        <v/>
      </c>
      <c r="H27" s="7">
        <f>SUM(H5:H26)</f>
        <v/>
      </c>
      <c r="I27" s="7">
        <f>SUM(I5:I26)</f>
        <v/>
      </c>
      <c r="J27" s="18">
        <f>IFERROR(I27/E27,0)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34"/>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To do</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To do</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To do</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To do</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To do</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To do</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To do</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To do</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To do</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To do</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To do</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To do</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To do</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To do</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3"/>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2026-10-01T11:16:32Z</dcterms:modified>
  <cp:lastModifiedBy>Amek</cp:lastModifiedBy>
</cp:coreProperties>
</file>