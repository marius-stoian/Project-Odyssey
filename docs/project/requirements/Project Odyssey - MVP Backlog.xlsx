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v2.11, chapter 12; this workbook is generated from the same data. Updated 2026-10-01: merged the M8b assembly edits (D-44) with D-47 and D-48.</t>
        </is>
      </c>
    </row>
    <row r="3"/>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0"/>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every scope item Decided by the owner (D-47, 2026-10-01).</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Decided</t>
        </is>
      </c>
      <c r="E9" s="9" t="inlineStr">
        <is>
          <t>PLT-01, PLT-02</t>
        </is>
      </c>
    </row>
    <row r="10">
      <c r="A10" s="7" t="inlineStr">
        <is>
          <t>MVP-02</t>
        </is>
      </c>
      <c r="B10" s="9" t="inlineStr">
        <is>
          <t>Age</t>
        </is>
      </c>
      <c r="C10" s="9" t="inlineStr">
        <is>
          <t>Age 1 only: Late Paleolithic, Age of Embers (c. 40,000 BCE).</t>
        </is>
      </c>
      <c r="D10" s="9" t="inlineStr">
        <is>
          <t>Decided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Decided</t>
        </is>
      </c>
      <c r="E11" s="9" t="inlineStr">
        <is>
          <t>ENV-03, ARC-06, OPEN-02</t>
        </is>
      </c>
    </row>
    <row r="12">
      <c r="A12" s="7" t="inlineStr">
        <is>
          <t>MVP-04</t>
        </is>
      </c>
      <c r="B12" s="9" t="inlineStr">
        <is>
          <t>Game Mode</t>
        </is>
      </c>
      <c r="C12" s="9" t="inlineStr">
        <is>
          <t>One Hero per Age only (smallest scope, recommended first mode).</t>
        </is>
      </c>
      <c r="D12" s="9" t="inlineStr">
        <is>
          <t>Decided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Decided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Decided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Decided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Decided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Decided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Decided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38.25" customHeight="1" s="20">
      <c r="A25" s="7" t="inlineStr">
        <is>
          <t>MVP-17</t>
        </is>
      </c>
      <c r="B25" s="9" t="inlineStr">
        <is>
          <t>NPCs and trade</t>
        </is>
      </c>
      <c r="C25" s="9" t="inlineStr">
        <is>
          <t>Every placed NPC is a person with owner-defined classes, attitudes and opinions; talk, confront and trade (barter, currency, supply and demand) with any NPC; schedules and NPC-to-NPC interactions; all edited in the Editor; up to 100,000 persons with detail by distance.</t>
        </is>
      </c>
      <c r="D25" s="9" t="inlineStr">
        <is>
          <t>Decided</t>
        </is>
      </c>
      <c r="E25" s="9" t="inlineStr">
        <is>
          <t>SDC-08..SDC-12, INT-09..INT-12, EDT-08, NFR-08</t>
        </is>
      </c>
    </row>
    <row r="26" ht="63.75" customHeight="1" s="20"/>
    <row r="27" ht="38.25" customHeight="1" s="20">
      <c r="A27" s="5" t="inlineStr">
        <is>
          <t>Success and kill criteria (decided before building)</t>
        </is>
      </c>
    </row>
    <row r="28" ht="63.75" customHeight="1" s="20">
      <c r="A28" s="6" t="inlineStr">
        <is>
          <t>Metric</t>
        </is>
      </c>
      <c r="B28" s="6" t="inlineStr">
        <is>
          <t>Target</t>
        </is>
      </c>
      <c r="C28" s="6" t="inlineStr">
        <is>
          <t>How measured</t>
        </is>
      </c>
      <c r="D28" s="6" t="inlineStr">
        <is>
          <t>Gate</t>
        </is>
      </c>
    </row>
    <row r="29" ht="51" customHeight="1" s="20">
      <c r="A29" s="7" t="inlineStr">
        <is>
          <t>Voluntary play time</t>
        </is>
      </c>
      <c r="B29" s="9" t="inlineStr">
        <is>
          <t>5 of 8 playtesters play 30+ minutes without being asked to continue</t>
        </is>
      </c>
      <c r="C29" s="9" t="inlineStr">
        <is>
          <t>Observation + local session log (US-092)</t>
        </is>
      </c>
      <c r="D29" s="9" t="inlineStr">
        <is>
          <t>M6</t>
        </is>
      </c>
    </row>
    <row r="30" ht="51" customHeight="1" s="20">
      <c r="A30" s="7" t="inlineStr">
        <is>
          <t>Emergent story</t>
        </is>
      </c>
      <c r="B30" s="9" t="inlineStr">
        <is>
          <t>3 of 8 can retell a story that came from the simulation, not from a script</t>
        </is>
      </c>
      <c r="C30" s="9" t="inlineStr">
        <is>
          <t>Post-play interview</t>
        </is>
      </c>
      <c r="D30" s="9" t="inlineStr">
        <is>
          <t>M6</t>
        </is>
      </c>
    </row>
    <row r="31" ht="63.75" customHeight="1" s="20">
      <c r="A31" s="7" t="inlineStr">
        <is>
          <t>Chronicle interest (early)</t>
        </is>
      </c>
      <c r="B31" s="9" t="inlineStr">
        <is>
          <t>2 of 3 readers find a story in the console chronicle</t>
        </is>
      </c>
      <c r="C31" s="9" t="inlineStr">
        <is>
          <t>Show printed chronicle (M2: 3 readers, failed 2026-09-30; M2b retry: the owner reads and judges)</t>
        </is>
      </c>
      <c r="D31" s="9" t="inlineStr">
        <is>
          <t>M2, retried at M2b</t>
        </is>
      </c>
    </row>
    <row r="32">
      <c r="A32" s="7" t="inlineStr">
        <is>
          <t>Frame rate</t>
        </is>
      </c>
      <c r="B32" s="9" t="inlineStr">
        <is>
          <t>60 FPS with 500 simulated agents in the region on the minimum PC (OPEN-19)</t>
        </is>
      </c>
      <c r="C32" s="9" t="inlineStr">
        <is>
          <t>FPS overlay (US-082)</t>
        </is>
      </c>
      <c r="D32" s="9" t="inlineStr">
        <is>
          <t>M5</t>
        </is>
      </c>
    </row>
    <row r="33">
      <c r="A33" s="7" t="inlineStr">
        <is>
          <t>Determinism</t>
        </is>
      </c>
      <c r="B33" s="9" t="inlineStr">
        <is>
          <t>Same seed + inputs give the same world hash after 10,000 ticks</t>
        </is>
      </c>
      <c r="C33" s="9" t="inlineStr">
        <is>
          <t>Automated test in CI</t>
        </is>
      </c>
      <c r="D33" s="9" t="inlineStr">
        <is>
          <t>M2 onwards</t>
        </is>
      </c>
    </row>
    <row r="34">
      <c r="A34" s="7" t="inlineStr">
        <is>
          <t>Stability</t>
        </is>
      </c>
      <c r="B34" s="9" t="inlineStr">
        <is>
          <t>No crash in a 2-hour play session or a 100-year soak test</t>
        </is>
      </c>
      <c r="C34" s="9" t="inlineStr">
        <is>
          <t>Soak test + crash log</t>
        </is>
      </c>
      <c r="D34" s="9" t="inlineStr">
        <is>
          <t>M5, M6</t>
        </is>
      </c>
    </row>
    <row r="35">
      <c r="A35" s="7" t="inlineStr">
        <is>
          <t>Kill / pivot rule</t>
        </is>
      </c>
      <c r="B35" s="9" t="inlineStr">
        <is>
          <t>If M2 or M6 fails: stop adding content; redesign the simulation or the loop first</t>
        </is>
      </c>
      <c r="C35" s="9" t="inlineStr">
        <is>
          <t>Owner decision, recorded</t>
        </is>
      </c>
      <c r="D35"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C38"/>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 width="13" customWidth="1" style="20" min="276" max="276"/>
    <col width="13" customWidth="1" style="20" min="277" max="277"/>
    <col width="13" customWidth="1" style="20" min="278" max="278"/>
    <col width="13" customWidth="1" style="20" min="279" max="279"/>
    <col width="13" customWidth="1" style="20" min="280" max="280"/>
    <col width="13" customWidth="1" style="20" min="281" max="281"/>
    <col width="13" customWidth="1" style="20" min="282" max="282"/>
    <col width="13" customWidth="1" style="20" min="283" max="283"/>
    <col width="13" customWidth="1" style="20" min="284" max="284"/>
    <col width="13" customWidth="1" style="20" min="285" max="285"/>
    <col width="13" customWidth="1" style="20" min="286" max="286"/>
    <col width="13" customWidth="1" style="20" min="287" max="287"/>
    <col width="13" customWidth="1" style="20" min="288" max="288"/>
    <col width="13" customWidth="1" style="20" min="289" max="289"/>
    <col width="13" customWidth="1" style="20" min="290" max="290"/>
    <col width="13" customWidth="1" style="20" min="291" max="291"/>
    <col width="13" customWidth="1" style="20" min="292" max="292"/>
    <col width="13" customWidth="1" style="20" min="293" max="293"/>
    <col width="13" customWidth="1" style="20" min="294" max="294"/>
    <col width="13" customWidth="1" style="20" min="295" max="295"/>
    <col width="13" customWidth="1" style="20" min="296" max="296"/>
    <col width="13" customWidth="1" style="20" min="297" max="297"/>
    <col width="13" customWidth="1" style="20" min="298" max="298"/>
    <col width="13" customWidth="1" style="20" min="299" max="299"/>
    <col width="13" customWidth="1" style="20" min="300" max="300"/>
    <col width="13" customWidth="1" style="20" min="301" max="301"/>
    <col width="13" customWidth="1" style="20" min="302" max="302"/>
    <col width="13" customWidth="1" style="20" min="303" max="303"/>
    <col width="13" customWidth="1" style="20" min="304" max="304"/>
    <col width="13" customWidth="1" style="20" min="305" max="305"/>
    <col width="13" customWidth="1" style="20" min="306" max="306"/>
    <col width="13" customWidth="1" style="20" min="307" max="307"/>
    <col width="13" customWidth="1" style="20" min="308" max="308"/>
    <col width="13" customWidth="1" style="20" min="309" max="309"/>
    <col width="13" customWidth="1" style="20" min="310" max="310"/>
    <col width="13" customWidth="1" style="20" min="311" max="311"/>
    <col width="13" customWidth="1" style="20" min="312" max="312"/>
    <col width="13" customWidth="1" style="20" min="313" max="313"/>
    <col width="13" customWidth="1" style="20" min="314" max="314"/>
    <col width="13" customWidth="1" style="20" min="315" max="31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c r="JP6" s="12" t="n">
        <v>261</v>
      </c>
      <c r="JQ6" s="12" t="n">
        <v>262</v>
      </c>
      <c r="JR6" s="12" t="n">
        <v>263</v>
      </c>
      <c r="JS6" s="12" t="n">
        <v>264</v>
      </c>
      <c r="JT6" s="12" t="n">
        <v>265</v>
      </c>
      <c r="JU6" s="12" t="n">
        <v>266</v>
      </c>
      <c r="JV6" s="12" t="n">
        <v>267</v>
      </c>
      <c r="JW6" s="12" t="n">
        <v>268</v>
      </c>
      <c r="JX6" s="12" t="n">
        <v>269</v>
      </c>
      <c r="JY6" s="12" t="n">
        <v>270</v>
      </c>
      <c r="JZ6" s="12" t="n">
        <v>271</v>
      </c>
      <c r="KA6" s="12" t="n">
        <v>272</v>
      </c>
      <c r="KB6" s="12" t="n">
        <v>273</v>
      </c>
      <c r="KC6" s="12" t="n">
        <v>274</v>
      </c>
      <c r="KD6" s="12" t="n">
        <v>275</v>
      </c>
      <c r="KE6" s="12" t="n">
        <v>276</v>
      </c>
      <c r="KF6" s="12" t="n">
        <v>277</v>
      </c>
      <c r="KG6" s="12" t="n">
        <v>278</v>
      </c>
      <c r="KH6" s="12" t="n">
        <v>279</v>
      </c>
      <c r="KI6" s="12" t="n">
        <v>280</v>
      </c>
      <c r="KJ6" s="12" t="n">
        <v>281</v>
      </c>
      <c r="KK6" s="12" t="n">
        <v>282</v>
      </c>
      <c r="KL6" s="12" t="n">
        <v>283</v>
      </c>
      <c r="KM6" s="12" t="n">
        <v>284</v>
      </c>
      <c r="KN6" s="12" t="n">
        <v>285</v>
      </c>
      <c r="KO6" s="12" t="n">
        <v>286</v>
      </c>
      <c r="KP6" s="12" t="n">
        <v>287</v>
      </c>
      <c r="KQ6" s="12" t="n">
        <v>288</v>
      </c>
      <c r="KR6" s="12" t="n">
        <v>289</v>
      </c>
      <c r="KS6" s="12" t="n">
        <v>290</v>
      </c>
      <c r="KT6" s="12" t="n">
        <v>291</v>
      </c>
      <c r="KU6" s="12" t="n">
        <v>292</v>
      </c>
      <c r="KV6" s="12" t="n">
        <v>293</v>
      </c>
      <c r="KW6" s="12" t="n">
        <v>294</v>
      </c>
      <c r="KX6" s="12" t="n">
        <v>295</v>
      </c>
      <c r="KY6" s="12" t="n">
        <v>296</v>
      </c>
      <c r="KZ6" s="12" t="n">
        <v>297</v>
      </c>
      <c r="LA6" s="12" t="n">
        <v>298</v>
      </c>
      <c r="LB6" s="12" t="n">
        <v>299</v>
      </c>
      <c r="LC6" s="12" t="n">
        <v>300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M9a</t>
        </is>
      </c>
      <c r="B21" s="9" t="inlineStr">
        <is>
          <t>NPC foundation</t>
        </is>
      </c>
      <c r="C21" s="9" t="inlineStr">
        <is>
          <t>-</t>
        </is>
      </c>
      <c r="D21" s="13" t="n">
        <v>13</v>
      </c>
      <c r="E21" s="13" t="n">
        <v>26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n"/>
    </row>
    <row r="22" ht="25.5" customHeight="1" s="20">
      <c r="A22" s="7" t="inlineStr">
        <is>
          <t>M9b</t>
        </is>
      </c>
      <c r="B22" s="9" t="inlineStr">
        <is>
          <t>Trade economy</t>
        </is>
      </c>
      <c r="C22" s="9" t="inlineStr">
        <is>
          <t>-</t>
        </is>
      </c>
      <c r="D22" s="13" t="n">
        <v>6</v>
      </c>
      <c r="E22" s="13" t="n">
        <v>11</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n"/>
    </row>
    <row r="23" ht="25.5" customHeight="1" s="20">
      <c r="A23" s="7" t="inlineStr">
        <is>
          <t>M9c</t>
        </is>
      </c>
      <c r="B23" s="9" t="inlineStr">
        <is>
          <t>NPC life</t>
        </is>
      </c>
      <c r="C23" s="9" t="inlineStr">
        <is>
          <t>-</t>
        </is>
      </c>
      <c r="D23" s="13" t="n">
        <v>7</v>
      </c>
      <c r="E23" s="13" t="n">
        <v>13</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n"/>
    </row>
    <row r="24" ht="25.5" customHeight="1" s="20">
      <c r="A24" s="7" t="inlineStr">
        <is>
          <t>M8d</t>
        </is>
      </c>
      <c r="B24" s="9" t="inlineStr">
        <is>
          <t>Buildings</t>
        </is>
      </c>
      <c r="C24" s="9" t="inlineStr">
        <is>
          <t>-</t>
        </is>
      </c>
      <c r="D24" s="13" t="n">
        <v>8</v>
      </c>
      <c r="E24" s="13" t="n">
        <v>16</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hero builds from blueprints and piece by piece on a building grid, and rooms form; the owner composes prefabs from pieces in the Editor and places them in levels; prefabs marked buildable are offered as blueprints.</t>
        </is>
      </c>
    </row>
    <row r="25" ht="25.5" customHeight="1" s="20">
      <c r="A25" s="7" t="inlineStr">
        <is>
          <t>M8e</t>
        </is>
      </c>
      <c r="B25" s="9" t="inlineStr">
        <is>
          <t>Building life</t>
        </is>
      </c>
      <c r="C25" s="9" t="inlineStr">
        <is>
          <t>-</t>
        </is>
      </c>
      <c r="D25" s="13" t="n">
        <v>6</v>
      </c>
      <c r="E25" s="13" t="n">
        <v>12</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Clan members help build and rival clans build; each building fades its roof or opens an interior map as set in the Editor; buildings wear, are repaired, take damage, burn and fall; they shelter, warm and store for the clan and are saved.</t>
        </is>
      </c>
    </row>
    <row r="26" ht="25.5" customHeight="1" s="20">
      <c r="A26" s="7" t="inlineStr">
        <is>
          <t>M9</t>
        </is>
      </c>
      <c r="B26" s="9" t="inlineStr">
        <is>
          <t>Interaction and dialogue editor</t>
        </is>
      </c>
      <c r="C26" s="9" t="inlineStr">
        <is>
          <t>-</t>
        </is>
      </c>
      <c r="D26" s="13" t="n">
        <v>8</v>
      </c>
      <c r="E26" s="13" t="n">
        <v>16</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any dialogue or interaction in the Editor as a graph, edits it, test-plays it and saves it, and the file still reads well in a text editor.</t>
        </is>
      </c>
    </row>
    <row r="27" ht="25.5" customHeight="1" s="20">
      <c r="A27" s="7" t="inlineStr">
        <is>
          <t>M10</t>
        </is>
      </c>
      <c r="B27" s="9" t="inlineStr">
        <is>
          <t>Quests and story authoring</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8" ht="25.5" customHeight="1" s="20">
      <c r="A28" s="7" t="inlineStr">
        <is>
          <t>M11</t>
        </is>
      </c>
      <c r="B28" s="9" t="inlineStr">
        <is>
          <t>Data editors</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Every data file has a schema; the owner edits any entity, mechanic, story tuning value, game rule and daily routine in Editor forms with pickers and validation, and the running game reloads it.</t>
        </is>
      </c>
    </row>
    <row r="29" ht="25.5" customHeight="1" s="20">
      <c r="A29" s="7" t="inlineStr">
        <is>
          <t>M12</t>
        </is>
      </c>
      <c r="B29" s="9" t="inlineStr">
        <is>
          <t>World editing</t>
        </is>
      </c>
      <c r="C29" s="9" t="inlineStr">
        <is>
          <t>-</t>
        </is>
      </c>
      <c r="D29" s="13" t="n">
        <v>10</v>
      </c>
      <c r="E29" s="13" t="n">
        <v>21</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30" ht="25.5" customHeight="1" s="20">
      <c r="A30" s="7" t="inlineStr">
        <is>
          <t>M13</t>
        </is>
      </c>
      <c r="B30" s="9" t="inlineStr">
        <is>
          <t>Politics</t>
        </is>
      </c>
      <c r="C30" s="9" t="inlineStr">
        <is>
          <t>-</t>
        </is>
      </c>
      <c r="D30" s="13" t="n">
        <v>9</v>
      </c>
      <c r="E30" s="13" t="n">
        <v>18</v>
      </c>
      <c r="F30" s="9">
        <f>ROUND((D30+E30)/2,0)</f>
        <v/>
      </c>
      <c r="G30" s="9">
        <f>H29+1</f>
        <v/>
      </c>
      <c r="H30" s="9">
        <f>G30+F30-1</f>
        <v/>
      </c>
      <c r="I30" s="14">
        <f>$B$4+(G30-1)*7</f>
        <v/>
      </c>
      <c r="J30" s="14">
        <f>$B$4+H30*7-1</f>
        <v/>
      </c>
      <c r="K30" s="14">
        <f>$B$4+SUM($D$7:D30)*7-1</f>
        <v/>
      </c>
      <c r="L30" s="14">
        <f>$B$4+SUM($E$7:E30)*7-1</f>
        <v/>
      </c>
      <c r="M30" s="9">
        <f>SUMIFS('User Stories'!$H$5:$H$200,'User Stories'!$J$5:$J$200,A30,'User Stories'!$F$5:$F$200,"Must")&amp;" - "&amp;SUMIFS('User Stories'!$I$5:$I$200,'User Stories'!$J$5:$J$200,A30,'User Stories'!$F$5:$F$200,"Must")</f>
        <v/>
      </c>
      <c r="N30" s="9" t="inlineStr">
        <is>
          <t>Clans form alliances and vassal oaths, hold elders' councils, bind themselves by marriage, challenge leaders and use trade and craft knowledge as levers; the player can win the region through Politics; every political rule is editable in the Editor.</t>
        </is>
      </c>
    </row>
    <row r="31" ht="25.5" customHeight="1" s="20">
      <c r="A31" s="7" t="inlineStr">
        <is>
          <t>M14</t>
        </is>
      </c>
      <c r="B31" s="9" t="inlineStr">
        <is>
          <t>Technology</t>
        </is>
      </c>
      <c r="C31" s="9" t="inlineStr">
        <is>
          <t>-</t>
        </is>
      </c>
      <c r="D31" s="13" t="n">
        <v>9</v>
      </c>
      <c r="E31" s="13" t="n">
        <v>18</v>
      </c>
      <c r="F31" s="9">
        <f>ROUND((D31+E31)/2,0)</f>
        <v/>
      </c>
      <c r="G31" s="9">
        <f>H30+1</f>
        <v/>
      </c>
      <c r="H31" s="9">
        <f>G31+F31-1</f>
        <v/>
      </c>
      <c r="I31" s="14">
        <f>$B$4+(G31-1)*7</f>
        <v/>
      </c>
      <c r="J31" s="14">
        <f>$B$4+H31*7-1</f>
        <v/>
      </c>
      <c r="K31" s="14">
        <f>$B$4+SUM($D$7:D31)*7-1</f>
        <v/>
      </c>
      <c r="L31" s="14">
        <f>$B$4+SUM($E$7:E31)*7-1</f>
        <v/>
      </c>
      <c r="M31" s="9">
        <f>SUMIFS('User Stories'!$H$5:$H$200,'User Stories'!$J$5:$J$200,A31,'User Stories'!$F$5:$F$200,"Must")&amp;" - "&amp;SUMIFS('User Stories'!$I$5:$I$200,'User Stories'!$J$5:$J$200,A31,'User Stories'!$F$5:$F$200,"Must")</f>
        <v/>
      </c>
      <c r="N31"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32" ht="25.5" customHeight="1" s="20">
      <c r="A32" s="7" t="inlineStr">
        <is>
          <t>M6</t>
        </is>
      </c>
      <c r="B32" s="9" t="inlineStr">
        <is>
          <t>Playtest and go/no-go (KILL GATE 2)</t>
        </is>
      </c>
      <c r="C32" s="9" t="inlineStr">
        <is>
          <t>-</t>
        </is>
      </c>
      <c r="D32" s="13" t="n">
        <v>3</v>
      </c>
      <c r="E32" s="13" t="n">
        <v>4</v>
      </c>
      <c r="F32" s="9">
        <f>ROUND((D32+E32)/2,0)</f>
        <v/>
      </c>
      <c r="G32" s="9">
        <f>H31+1</f>
        <v/>
      </c>
      <c r="H32" s="9">
        <f>G32+F32-1</f>
        <v/>
      </c>
      <c r="I32" s="14">
        <f>$B$4+(G32-1)*7</f>
        <v/>
      </c>
      <c r="J32" s="14">
        <f>$B$4+H32*7-1</f>
        <v/>
      </c>
      <c r="K32" s="14">
        <f>$B$4+SUM($D$7:D32)*7-1</f>
        <v/>
      </c>
      <c r="L32" s="14">
        <f>$B$4+SUM($E$7:E32)*7-1</f>
        <v/>
      </c>
      <c r="M32" s="9">
        <f>SUMIFS('User Stories'!$H$5:$H$200,'User Stories'!$J$5:$J$200,A32,'User Stories'!$F$5:$F$200,"Must")&amp;" - "&amp;SUMIFS('User Stories'!$I$5:$I$200,'User Stories'!$J$5:$J$200,A32,'User Stories'!$F$5:$F$200,"Must")</f>
        <v/>
      </c>
      <c r="N32" s="9" t="inlineStr">
        <is>
          <t>8 outside playtesters play; success criteria measured; go/no-go decision recorded. Held after M14 (owner, 2026-10-01, D-41).</t>
        </is>
      </c>
    </row>
    <row r="33" s="20">
      <c r="A33" s="7" t="n"/>
      <c r="B33" s="7" t="inlineStr">
        <is>
          <t>MVP total</t>
        </is>
      </c>
      <c r="C33" s="7" t="n"/>
      <c r="D33" s="7">
        <f>SUM(D7:D32)</f>
        <v/>
      </c>
      <c r="E33" s="7">
        <f>SUM(E7:E32)</f>
        <v/>
      </c>
      <c r="F33" s="7">
        <f>SUM(F7:F32)</f>
        <v/>
      </c>
      <c r="G33" s="7" t="n"/>
      <c r="H33" s="7">
        <f>H32</f>
        <v/>
      </c>
      <c r="I33" s="15">
        <f>I7</f>
        <v/>
      </c>
      <c r="J33" s="15">
        <f>J32</f>
        <v/>
      </c>
      <c r="K33" s="15">
        <f>K32</f>
        <v/>
      </c>
      <c r="L33" s="15">
        <f>L32</f>
        <v/>
      </c>
      <c r="M33" s="7" t="n"/>
      <c r="N33" s="7" t="inlineStr">
        <is>
          <t>Months (likely) = weeks / 4.33</t>
        </is>
      </c>
    </row>
    <row r="34" ht="27.95" customHeight="1" s="20">
      <c r="A34" s="7" t="n"/>
      <c r="B34" s="7" t="inlineStr">
        <is>
          <t>In months</t>
        </is>
      </c>
      <c r="C34" s="7" t="n"/>
      <c r="D34" s="7">
        <f>ROUND(D33/4.33,1)</f>
        <v/>
      </c>
      <c r="E34" s="7">
        <f>ROUND(E33/4.33,1)</f>
        <v/>
      </c>
      <c r="F34" s="7">
        <f>ROUND(F33/4.33,1)</f>
        <v/>
      </c>
      <c r="G34" s="7" t="n"/>
      <c r="H34" s="7" t="n"/>
      <c r="I34" s="7" t="n"/>
      <c r="J34" s="7" t="n"/>
      <c r="K34" s="7" t="n"/>
      <c r="L34" s="7" t="n"/>
      <c r="M34" s="7" t="n"/>
      <c r="N34" s="7" t="n"/>
    </row>
    <row r="35" ht="27.95" customHeight="1" s="20"/>
    <row r="36" ht="27.95" customHeight="1" s="20">
      <c r="B36" s="19" t="inlineStr">
        <is>
          <t>Why the estimate grew: the learning path (requirements, section 8.3) estimated 9-13 months top-down. The bottom-up sum of the MVP stories is higher; this sheet uses the bottom-up figure.</t>
        </is>
      </c>
    </row>
    <row r="37" s="20">
      <c r="B37" s="19" t="inlineStr">
        <is>
          <t>Buffer: the 'Should' stories are the cut list if time runs short. Cutting all of them saves about 5-11 weeks.</t>
        </is>
      </c>
    </row>
    <row r="38" ht="102" customHeight="1" s="20">
      <c r="B38" s="19" t="inlineStr">
        <is>
          <t>Kill gates: M2 (failed 2026-09-30, passed at the M2b retry) and M6 (do playtesters stay?), held after M14 (D-41). Critical path: M0 &gt; M1 &gt; M1b &gt; M2 &gt; M2b &gt; M2c &gt; M2d &gt; M3 &gt; M4 &gt; M5 &gt; M7 &gt; M8 &gt; M8b &gt; M8c &gt; M9a &gt; M9b &gt; M9c &gt; M8d &gt; M8e &gt; M9 &gt; M10 &gt; M11 &gt; M12 &gt; M13 &gt; M14 &gt; M6. Dates of M2c onwards are not re-planned yet.</t>
        </is>
      </c>
    </row>
  </sheetData>
  <mergeCells count="3">
    <mergeCell ref="B38:N38"/>
    <mergeCell ref="B37:N37"/>
    <mergeCell ref="B36:N36"/>
  </mergeCells>
  <conditionalFormatting sqref="P7:LC32">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Decided (closed, D-47)</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Decided (closed, D-47)</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Superseded (D-40, D-41)</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Decided (closed, D-47)</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 plan ready, recruiting from K-M13 (D-48)</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row r="31">
      <c r="A31" s="7" t="inlineStr">
        <is>
          <t>D-46</t>
        </is>
      </c>
      <c r="B31" s="9" t="inlineStr">
        <is>
          <t>Faster verification: local check = Debug build and tests; CI = Release on qa, Debug and Release on main; CI only on qa and main, skips docs-only pushes, cancels superseded runs, caches vcpkg libraries</t>
        </is>
      </c>
      <c r="C31" s="9" t="inlineStr">
        <is>
          <t>Process decision</t>
        </is>
      </c>
      <c r="D31" s="9" t="inlineStr">
        <is>
          <t>M8b</t>
        </is>
      </c>
      <c r="E31" s="9" t="inlineStr">
        <is>
          <t>all stories from US-230</t>
        </is>
      </c>
      <c r="F31" s="9" t="inlineStr">
        <is>
          <t>Owner</t>
        </is>
      </c>
      <c r="G31" s="16" t="inlineStr">
        <is>
          <t>Decided</t>
        </is>
      </c>
    </row>
    <row r="32">
      <c r="A32" s="7" t="inlineStr">
        <is>
          <t>D-47</t>
        </is>
      </c>
      <c r="B32" s="9" t="inlineStr">
        <is>
          <t>Housekeeping: stale decisions closed, MVP scope Decided, STO-01/SDC-01 absorbed, 10 s first-frame limit on CI with the 3 s check on the owner PC at exits, reading PDFs stay on Drive</t>
        </is>
      </c>
      <c r="C32" s="9" t="inlineStr">
        <is>
          <t>Process decision</t>
        </is>
      </c>
      <c r="D32" s="9" t="inlineStr">
        <is>
          <t>M8b</t>
        </is>
      </c>
      <c r="E32" s="9" t="inlineStr">
        <is>
          <t>all</t>
        </is>
      </c>
      <c r="F32" s="9" t="inlineStr">
        <is>
          <t>Owner</t>
        </is>
      </c>
      <c r="G32" s="16" t="inlineStr">
        <is>
          <t>Decided</t>
        </is>
      </c>
    </row>
    <row r="33">
      <c r="A33" s="7" t="inlineStr">
        <is>
          <t>D-48</t>
        </is>
      </c>
      <c r="B33" s="9" t="inlineStr">
        <is>
          <t>ARC-01..08 confirmed; playtest planned now (docs/plans/M6-playtest-plan.md), recruiting from K-M13; Anima Prompt Catalog as a Google Doc</t>
        </is>
      </c>
      <c r="C33" s="9" t="inlineStr">
        <is>
          <t>Process decision</t>
        </is>
      </c>
      <c r="D33" s="9" t="inlineStr">
        <is>
          <t>M13</t>
        </is>
      </c>
      <c r="E33" s="9" t="inlineStr">
        <is>
          <t>X-M6</t>
        </is>
      </c>
      <c r="F33" s="9" t="inlineStr">
        <is>
          <t>Owner</t>
        </is>
      </c>
      <c r="G33" s="16" t="inlineStr">
        <is>
          <t>Decided</t>
        </is>
      </c>
    </row>
    <row r="34" s="20">
      <c r="A34" s="7" t="inlineStr">
        <is>
          <t>D-44</t>
        </is>
      </c>
      <c r="B34" s="9" t="inlineStr">
        <is>
          <t>M8b windowed sizes: 1280x720, 1600x900, 1920x1080, 2560x1440; Whole with black bars by default, optional Fill; zoom in Settings and via mouse wheel and keys in play; UI scale in Settings only; first start windowed 1280x720, zoom 2x, UI scale 1x, lighting Medium.</t>
        </is>
      </c>
      <c r="C34" s="9" t="inlineStr">
        <is>
          <t>Design decision</t>
        </is>
      </c>
      <c r="D34" s="9" t="inlineStr">
        <is>
          <t>M8b</t>
        </is>
      </c>
      <c r="E34" s="9" t="inlineStr">
        <is>
          <t>US-231..US-233</t>
        </is>
      </c>
      <c r="F34" s="9" t="inlineStr">
        <is>
          <t>Owner</t>
        </is>
      </c>
      <c r="G34" s="16" t="inlineStr">
        <is>
          <t>Decided</t>
        </is>
      </c>
    </row>
    <row r="35" s="20">
      <c r="A35" s="7" t="inlineStr">
        <is>
          <t>D-52</t>
        </is>
      </c>
      <c r="B35" s="9" t="inlineStr">
        <is>
          <t>NPC foundation, trade economy and NPC life: 24 answers and 4 follow-ups (docs/decision-requests/D-52.md); three milestones right after M8c</t>
        </is>
      </c>
      <c r="C35" s="9" t="inlineStr">
        <is>
          <t>Design decision</t>
        </is>
      </c>
      <c r="D35" s="9" t="inlineStr">
        <is>
          <t>M9a</t>
        </is>
      </c>
      <c r="E35" s="9" t="inlineStr">
        <is>
          <t>US-260..US-270, US-280..US-284, US-290..US-294</t>
        </is>
      </c>
      <c r="F35" s="9" t="inlineStr">
        <is>
          <t>Owner</t>
        </is>
      </c>
      <c r="G35"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ht="25.5" customHeight="1" s="20">
      <c r="A31" s="7" t="inlineStr">
        <is>
          <t>E26</t>
        </is>
      </c>
      <c r="B31" s="9" t="inlineStr">
        <is>
          <t>NPC foundation</t>
        </is>
      </c>
      <c r="C31" s="9" t="inlineStr">
        <is>
          <t>Every placed NPC is a person with one or more classes, an attitude and opinions; the player talks to, confronts and acts on any NPC; the owner sets every NPC in the Editor; 100,000 persons run with detail by distance.</t>
        </is>
      </c>
      <c r="D31" s="9" t="inlineStr">
        <is>
          <t>M9a</t>
        </is>
      </c>
      <c r="E31" s="9">
        <f>COUNTIF('User Stories'!$B$5:$B$200,A31)</f>
        <v/>
      </c>
      <c r="F31" s="9">
        <f>COUNTIFS('User Stories'!$B$5:$B$200,A31,'User Stories'!$F$5:$F$200,"Must")</f>
        <v/>
      </c>
      <c r="G31" s="9">
        <f>SUMIF('User Stories'!$B$5:$B$200,A31,'User Stories'!$H$5:$H$200)</f>
        <v/>
      </c>
      <c r="H31" s="9">
        <f>SUMIF('User Stories'!$B$5:$B$200,A31,'User Stories'!$I$5:$I$200)</f>
        <v/>
      </c>
      <c r="I31" s="9">
        <f>COUNTIFS('User Stories'!$B$5:$B$200,A31,'User Stories'!$O$5:$O$200,"Done")</f>
        <v/>
      </c>
      <c r="J31" s="17">
        <f>IFERROR(I31/E31,0)</f>
        <v/>
      </c>
    </row>
    <row r="32" ht="25.5" customHeight="1" s="20">
      <c r="A32" s="7" t="inlineStr">
        <is>
          <t>E27</t>
        </is>
      </c>
      <c r="B32" s="9" t="inlineStr">
        <is>
          <t>Trade economy</t>
        </is>
      </c>
      <c r="C32" s="9" t="inlineStr">
        <is>
          <t>The player trades with any trader by barter or the region's currency; prices follow supply and demand and opinion; limited stock restocks daily; currencies and stock are set in the Editor.</t>
        </is>
      </c>
      <c r="D32" s="9" t="inlineStr">
        <is>
          <t>M9b</t>
        </is>
      </c>
      <c r="E32" s="9">
        <f>COUNTIF('User Stories'!$B$5:$B$200,A32)</f>
        <v/>
      </c>
      <c r="F32" s="9">
        <f>COUNTIFS('User Stories'!$B$5:$B$200,A32,'User Stories'!$F$5:$F$200,"Must")</f>
        <v/>
      </c>
      <c r="G32" s="9">
        <f>SUMIF('User Stories'!$B$5:$B$200,A32,'User Stories'!$H$5:$H$200)</f>
        <v/>
      </c>
      <c r="H32" s="9">
        <f>SUMIF('User Stories'!$B$5:$B$200,A32,'User Stories'!$I$5:$I$200)</f>
        <v/>
      </c>
      <c r="I32" s="9">
        <f>COUNTIFS('User Stories'!$B$5:$B$200,A32,'User Stories'!$O$5:$O$200,"Done")</f>
        <v/>
      </c>
      <c r="J32" s="17">
        <f>IFERROR(I32/E32,0)</f>
        <v/>
      </c>
    </row>
    <row r="33" ht="25.5" customHeight="1" s="20">
      <c r="A33" s="7" t="inlineStr">
        <is>
          <t>E28</t>
        </is>
      </c>
      <c r="B33" s="9" t="inlineStr">
        <is>
          <t>NPC life</t>
        </is>
      </c>
      <c r="C33" s="9" t="inlineStr">
        <is>
          <t>NPCs follow day and night schedules, act from their classes, custom actions and events, and do everything to each other with the same files, all edited in the Editor.</t>
        </is>
      </c>
      <c r="D33" s="9" t="inlineStr">
        <is>
          <t>M9c</t>
        </is>
      </c>
      <c r="E33" s="9">
        <f>COUNTIF('User Stories'!$B$5:$B$200,A33)</f>
        <v/>
      </c>
      <c r="F33" s="9">
        <f>COUNTIFS('User Stories'!$B$5:$B$200,A33,'User Stories'!$F$5:$F$200,"Must")</f>
        <v/>
      </c>
      <c r="G33" s="9">
        <f>SUMIF('User Stories'!$B$5:$B$200,A33,'User Stories'!$H$5:$H$200)</f>
        <v/>
      </c>
      <c r="H33" s="9">
        <f>SUMIF('User Stories'!$B$5:$B$200,A33,'User Stories'!$I$5:$I$200)</f>
        <v/>
      </c>
      <c r="I33" s="9">
        <f>COUNTIFS('User Stories'!$B$5:$B$200,A33,'User Stories'!$O$5:$O$200,"Done")</f>
        <v/>
      </c>
      <c r="J33" s="17">
        <f>IFERROR(I33/E33,0)</f>
        <v/>
      </c>
    </row>
    <row r="34" s="20">
      <c r="A34" s="7" t="n"/>
      <c r="B34" s="7" t="inlineStr">
        <is>
          <t>Total</t>
        </is>
      </c>
      <c r="C34" s="7" t="n"/>
      <c r="D34" s="7" t="n"/>
      <c r="E34" s="7">
        <f>SUM(E5:E33)</f>
        <v/>
      </c>
      <c r="F34" s="7">
        <f>SUM(F5:F33)</f>
        <v/>
      </c>
      <c r="G34" s="7">
        <f>SUM(G5:G33)</f>
        <v/>
      </c>
      <c r="H34" s="7">
        <f>SUM(H5:H33)</f>
        <v/>
      </c>
      <c r="I34" s="7">
        <f>SUM(I5:I33)</f>
        <v/>
      </c>
      <c r="J34" s="18">
        <f>IFERROR(I34/E34,0)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76"/>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Done</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Done</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Done</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Done</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Done</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Done</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Done</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Done</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Done</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Done</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Done</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Done</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1280x720, 1600x900, 1920x1080 or 2560x1440 windowed, borderless or exclusive full screen
Then the mode and size change at once and are saved
Scenario: Odd sizes
Given a 2560x1440 screen
When the game runs
Then Whole centres the 960x540 image at 2x with black bars; Fill uses the screen area when selected
Scenario: First start
Given no settings.json exists
When the game launches
Then it opens windowed at 1280x720 with Whole scaling, and defaults to camera zoom 2x, UI scale 1x and lighting Medium</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and window modes (owner, 2026-10-01, D-42 and D-44)</t>
        </is>
      </c>
      <c r="O136" s="16" t="inlineStr">
        <is>
          <t>Done</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in Settings or with the mouse wheel or zoom keys in play
Then the view shows 1x (30 x 17 tiles) and back, around the hero
Scenario: UI
Given UI scale 1x and 2x
When the player switches UI scale in Settings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Camera zoom and UI scale (owner, 2026-10-01, D-44)</t>
        </is>
      </c>
      <c r="O137" s="16" t="inlineStr">
        <is>
          <t>Done</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Done</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Done</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Done</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Done</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Done</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Done</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Done</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Done</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Done</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Done</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Done</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Done</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Done</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Done</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Done</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Done</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Done</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Done</t>
        </is>
      </c>
    </row>
    <row r="156" ht="124.15" customHeight="1" s="20">
      <c r="A156" s="7" t="inlineStr">
        <is>
          <t>US-260</t>
        </is>
      </c>
      <c r="B156" s="9" t="inlineStr">
        <is>
          <t>E26</t>
        </is>
      </c>
      <c r="C156" s="9" t="inlineStr">
        <is>
          <t>NPC Classes</t>
        </is>
      </c>
      <c r="D156" s="9" t="inlineStr">
        <is>
          <t>As the owner, I want to create, edit, delete and assign NPC Classes in the Editor, each with a colour, an icon, tags, default dialogues and default actions, so that I can say what kinds of people my world has.</t>
        </is>
      </c>
      <c r="E156" s="9" t="inlineStr">
        <is>
          <t>Scenario: Create
Given the NPC Classes tab
When the owner creates the class healer with a green colour and the tag healer and saves
Then assets/data/npc-classes/healer.json exists and the class is offered in every class picker
Scenario: Delete in use
Given a class used by two placed NPCs
When the owner deletes it
Then the Editor refuses and names both NPCs
Scenario: Mistake
Given a class file with an unknown icon
When the game starts
Then the error names the file, the line and the field, and the other classes load</t>
        </is>
      </c>
      <c r="F156" s="9" t="inlineStr">
        <is>
          <t>Must</t>
        </is>
      </c>
      <c r="G156" s="9" t="inlineStr">
        <is>
          <t>M</t>
        </is>
      </c>
      <c r="H156" s="9">
        <f>VLOOKUP(G156,'Read Me'!$A$13:$C$15,2,FALSE)</f>
        <v/>
      </c>
      <c r="I156" s="9">
        <f>VLOOKUP(G156,'Read Me'!$A$13:$C$15,3,FALSE)</f>
        <v/>
      </c>
      <c r="J156" s="9" t="inlineStr">
        <is>
          <t>M9a</t>
        </is>
      </c>
      <c r="K156" s="9" t="inlineStr">
        <is>
          <t>US-150, US-126</t>
        </is>
      </c>
      <c r="L156" s="9" t="inlineStr">
        <is>
          <t>SDC-08, EDT-08</t>
        </is>
      </c>
      <c r="M156" s="9" t="inlineStr">
        <is>
          <t>Catalogs keyed by id; refusing a delete that would leave dangling references.</t>
        </is>
      </c>
      <c r="N156" s="9" t="inlineStr">
        <is>
          <t>NPC foundation, trade and life (owner, 2026-10-04, D-52)</t>
        </is>
      </c>
      <c r="O156" s="16" t="inlineStr">
        <is>
          <t>Done</t>
        </is>
      </c>
    </row>
    <row r="157" ht="124.15" customHeight="1" s="20">
      <c r="A157" s="7" t="inlineStr">
        <is>
          <t>US-261</t>
        </is>
      </c>
      <c r="B157" s="9" t="inlineStr">
        <is>
          <t>E26</t>
        </is>
      </c>
      <c r="C157" s="9" t="inlineStr">
        <is>
          <t>Kind defaults and placed-NPC overrides</t>
        </is>
      </c>
      <c r="D157" s="9" t="inlineStr">
        <is>
          <t>As the owner, I want defaults per NPC kind and per-NPC changes in the level, so that a new wanderer starts sensible and each placed one can differ.</t>
        </is>
      </c>
      <c r="E157" s="9" t="inlineStr">
        <is>
          <t>Scenario: Precedence
Given the class trader allows trade and a placed NPC of that class denies it
When the game resolves the NPC's actions
Then trade is denied for that NPC only
Scenario: Old level
Given a level saved before this story
When it is loaded and saved
Then the file is unchanged
Scenario: Reload
Given a kind file changed on disk while playing
When the owner presses F5
Then the change applies to every NPC of that kind without an override</t>
        </is>
      </c>
      <c r="F157" s="9" t="inlineStr">
        <is>
          <t>Must</t>
        </is>
      </c>
      <c r="G157" s="9" t="inlineStr">
        <is>
          <t>M</t>
        </is>
      </c>
      <c r="H157" s="9">
        <f>VLOOKUP(G157,'Read Me'!$A$13:$C$15,2,FALSE)</f>
        <v/>
      </c>
      <c r="I157" s="9">
        <f>VLOOKUP(G157,'Read Me'!$A$13:$C$15,3,FALSE)</f>
        <v/>
      </c>
      <c r="J157" s="9" t="inlineStr">
        <is>
          <t>M9a</t>
        </is>
      </c>
      <c r="K157" s="9" t="inlineStr">
        <is>
          <t>US-260, US-122</t>
        </is>
      </c>
      <c r="L157" s="9" t="inlineStr">
        <is>
          <t>SDC-09, EDT-08</t>
        </is>
      </c>
      <c r="M157" s="9" t="inlineStr">
        <is>
          <t>Layered defaults; std::optional for 'not set'; merging lists with a precedence rule.</t>
        </is>
      </c>
      <c r="N157" s="9" t="inlineStr">
        <is>
          <t>NPC foundation, trade and life (owner, 2026-10-04, D-52)</t>
        </is>
      </c>
      <c r="O157" s="16" t="inlineStr">
        <is>
          <t>Done</t>
        </is>
      </c>
    </row>
    <row r="158" ht="124.15" customHeight="1" s="20">
      <c r="A158" s="7" t="inlineStr">
        <is>
          <t>US-262</t>
        </is>
      </c>
      <c r="B158" s="9" t="inlineStr">
        <is>
          <t>E26</t>
        </is>
      </c>
      <c r="C158" s="9" t="inlineStr">
        <is>
          <t>Placed NPCs are full persons</t>
        </is>
      </c>
      <c r="D158" s="9" t="inlineStr">
        <is>
          <t>As the player, I want the people placed in a level to be real members of the world, with needs, memories, ageing and families, so that they feel alive like my clan.</t>
        </is>
      </c>
      <c r="E158" s="9" t="inlineStr">
        <is>
          <t>Scenario: Person
Given a placed wanderer
When a day passes
Then its needs change and a memory of the day exists, as for a clan member
Scenario: Saved
Given a placed person who aged one day and met the hero
When the game is saved and loaded
Then age, needs and memories are the same
Scenario: Creatures
Given a placed goblin of class monster
When the level loads
Then it is a creature, not a person, and fights as before</t>
        </is>
      </c>
      <c r="F158" s="9" t="inlineStr">
        <is>
          <t>Must</t>
        </is>
      </c>
      <c r="G158" s="9" t="inlineStr">
        <is>
          <t>L</t>
        </is>
      </c>
      <c r="H158" s="9">
        <f>VLOOKUP(G158,'Read Me'!$A$13:$C$15,2,FALSE)</f>
        <v/>
      </c>
      <c r="I158" s="9">
        <f>VLOOKUP(G158,'Read Me'!$A$13:$C$15,3,FALSE)</f>
        <v/>
      </c>
      <c r="J158" s="9" t="inlineStr">
        <is>
          <t>M9a</t>
        </is>
      </c>
      <c r="K158" s="9" t="inlineStr">
        <is>
          <t>US-261, US-154</t>
        </is>
      </c>
      <c r="L158" s="9" t="inlineStr">
        <is>
          <t>SDC-09</t>
        </is>
      </c>
      <c r="M158" s="9" t="inlineStr">
        <is>
          <t>Identity and lifetime: one id from the level file to the save.</t>
        </is>
      </c>
      <c r="N158" s="9" t="inlineStr">
        <is>
          <t>NPC foundation, trade and life (owner, 2026-10-04, D-52)</t>
        </is>
      </c>
      <c r="O158" s="16" t="inlineStr">
        <is>
          <t>Done</t>
        </is>
      </c>
    </row>
    <row r="159" ht="124.15" customHeight="1" s="20">
      <c r="A159" s="7" t="inlineStr">
        <is>
          <t>US-263</t>
        </is>
      </c>
      <c r="B159" s="9" t="inlineStr">
        <is>
          <t>E26</t>
        </is>
      </c>
      <c r="C159" s="9" t="inlineStr">
        <is>
          <t>The NPC store and detail by distance</t>
        </is>
      </c>
      <c r="D159" s="9" t="inlineStr">
        <is>
          <t>As the owner, I want the world to hold up to 100,000 region-loaded NPCs while the game stays smooth, so that the end game can be crowded.</t>
        </is>
      </c>
      <c r="E159" s="9" t="inlineStr">
        <is>
          <t>Scenario: Load
Given 100,000 generated persons in a headless run
When one in-game day is simulated
Then it finishes within the budget of ADR-022 on the D-06 PC and the determinism hash is stable over two runs
Scenario: Near and far
Given a person who walks out of the near radius and back
When the days pass
Then its needs and memories continue without a jump or a loss
Scenario: Frame
Given the test level with 100,000 far persons loaded
When the game runs for one minute
Then the frame time stays within the D-06 target</t>
        </is>
      </c>
      <c r="F159" s="9" t="inlineStr">
        <is>
          <t>Must</t>
        </is>
      </c>
      <c r="G159" s="9" t="inlineStr">
        <is>
          <t>L</t>
        </is>
      </c>
      <c r="H159" s="9">
        <f>VLOOKUP(G159,'Read Me'!$A$13:$C$15,2,FALSE)</f>
        <v/>
      </c>
      <c r="I159" s="9">
        <f>VLOOKUP(G159,'Read Me'!$A$13:$C$15,3,FALSE)</f>
        <v/>
      </c>
      <c r="J159" s="9" t="inlineStr">
        <is>
          <t>M9a</t>
        </is>
      </c>
      <c r="K159" s="9" t="inlineStr">
        <is>
          <t>US-262</t>
        </is>
      </c>
      <c r="L159" s="9" t="inlineStr">
        <is>
          <t>NFR-08, SDC-09</t>
        </is>
      </c>
      <c r="M159" s="9" t="inlineStr">
        <is>
          <t>Struct of arrays and cache lines; spatial hashing; why O(n^2) breaks at 100,000.</t>
        </is>
      </c>
      <c r="N159" s="9" t="inlineStr">
        <is>
          <t>NPC foundation, trade and life (owner, 2026-10-04, D-52)</t>
        </is>
      </c>
      <c r="O159" s="16" t="inlineStr">
        <is>
          <t>Done</t>
        </is>
      </c>
    </row>
    <row r="160" ht="124.15" customHeight="1" s="20">
      <c r="A160" s="7" t="inlineStr">
        <is>
          <t>US-264</t>
        </is>
      </c>
      <c r="B160" s="9" t="inlineStr">
        <is>
          <t>E26</t>
        </is>
      </c>
      <c r="C160" s="9" t="inlineStr">
        <is>
          <t>Attitudes and opinions</t>
        </is>
      </c>
      <c r="D160" s="9" t="inlineStr">
        <is>
          <t>As the player, I want every NPC to have its own attitude to me and to others, changed by what we do, so that my choices matter person by person.</t>
        </is>
      </c>
      <c r="E160" s="9" t="inlineStr">
        <is>
          <t>Scenario: Gift
Given a neutral NPC
When the hero gives it a gift worth the 'gift' amount
Then its opinion of the hero rises by that amount and its word changes when a threshold is crossed
Scenario: Family
Given two NPCs of the same family
When the level loads
Then each starts with the 'same family' opinion of the other
Scenario: Sparse
Given 100,000 persons where 10 pairs have met
When the store is inspected
Then exactly 10 opinion entries exist</t>
        </is>
      </c>
      <c r="F160" s="9" t="inlineStr">
        <is>
          <t>Must</t>
        </is>
      </c>
      <c r="G160" s="9" t="inlineStr">
        <is>
          <t>M</t>
        </is>
      </c>
      <c r="H160" s="9">
        <f>VLOOKUP(G160,'Read Me'!$A$13:$C$15,2,FALSE)</f>
        <v/>
      </c>
      <c r="I160" s="9">
        <f>VLOOKUP(G160,'Read Me'!$A$13:$C$15,3,FALSE)</f>
        <v/>
      </c>
      <c r="J160" s="9" t="inlineStr">
        <is>
          <t>M9a</t>
        </is>
      </c>
      <c r="K160" s="9" t="inlineStr">
        <is>
          <t>US-263</t>
        </is>
      </c>
      <c r="L160" s="9" t="inlineStr">
        <is>
          <t>SDC-10</t>
        </is>
      </c>
      <c r="M160" s="9" t="inlineStr">
        <is>
          <t>Sparse maps keyed by pairs; deriving words from numbers with thresholds.</t>
        </is>
      </c>
      <c r="N160" s="9" t="inlineStr">
        <is>
          <t>NPC foundation, trade and life (owner, 2026-10-04, D-52)</t>
        </is>
      </c>
      <c r="O160" s="16" t="inlineStr">
        <is>
          <t>Done</t>
        </is>
      </c>
    </row>
    <row r="161" ht="124.15" customHeight="1" s="20">
      <c r="A161" s="7" t="inlineStr">
        <is>
          <t>US-265</t>
        </is>
      </c>
      <c r="B161" s="9" t="inlineStr">
        <is>
          <t>E26</t>
        </is>
      </c>
      <c r="C161" s="9" t="inlineStr">
        <is>
          <t>Talk with placed NPCs</t>
        </is>
      </c>
      <c r="D161" s="9" t="inlineStr">
        <is>
          <t>As the player, I want to talk to any NPC that has something to say, so that every person in a level can speak.</t>
        </is>
      </c>
      <c r="E161" s="9" t="inlineStr">
        <is>
          <t>Scenario: Talk
Given a placed NPC with a player dialogue, 2 m from the hero
When the player right-clicks it and chooses Talk
Then its dialogue opens and the game pauses
Scenario: No script
Given a placed NPC with no player dialogue
When the player right-clicks it
Then Talk is not offered
Scenario: Clan unchanged
Given a clan member
When the player chooses Talk
Then the conversation is the same as before this story</t>
        </is>
      </c>
      <c r="F161" s="9" t="inlineStr">
        <is>
          <t>Must</t>
        </is>
      </c>
      <c r="G161" s="9" t="inlineStr">
        <is>
          <t>M</t>
        </is>
      </c>
      <c r="H161" s="9">
        <f>VLOOKUP(G161,'Read Me'!$A$13:$C$15,2,FALSE)</f>
        <v/>
      </c>
      <c r="I161" s="9">
        <f>VLOOKUP(G161,'Read Me'!$A$13:$C$15,3,FALSE)</f>
        <v/>
      </c>
      <c r="J161" s="9" t="inlineStr">
        <is>
          <t>M9a</t>
        </is>
      </c>
      <c r="K161" s="9" t="inlineStr">
        <is>
          <t>US-264, US-161</t>
        </is>
      </c>
      <c r="L161" s="9" t="inlineStr">
        <is>
          <t>SDC-11, SDC-03</t>
        </is>
      </c>
      <c r="M161" s="9" t="inlineStr">
        <is>
          <t>One interface for many kinds of things; data-driven dispatch by tags.</t>
        </is>
      </c>
      <c r="N161" s="9" t="inlineStr">
        <is>
          <t>NPC foundation, trade and life (owner, 2026-10-04, D-52)</t>
        </is>
      </c>
      <c r="O161" s="16" t="inlineStr">
        <is>
          <t>Done</t>
        </is>
      </c>
    </row>
    <row r="162" ht="124.15" customHeight="1" s="20">
      <c r="A162" s="7" t="inlineStr">
        <is>
          <t>US-266</t>
        </is>
      </c>
      <c r="B162" s="9" t="inlineStr">
        <is>
          <t>E26</t>
        </is>
      </c>
      <c r="C162" s="9" t="inlineStr">
        <is>
          <t>Confront</t>
        </is>
      </c>
      <c r="D162" s="9" t="inlineStr">
        <is>
          <t>As the player, I want a separate Confront button with taunt, insult, ask for peace, antagonise and de-escalate, so that I can deal with hostile NPCs by words and live with the consequences.</t>
        </is>
      </c>
      <c r="E162" s="9" t="inlineStr">
        <is>
          <t>Scenario: Calm down
Given a hostile NPC about to attack
When the player chooses De-escalate and the check succeeds
Then it stops attacking and its opinion of the hero rises
Scenario: Insult
Given an NPC with two friends within hearing range
When the player insults it
Then its opinion and its friends' opinions of the hero fall by the data amounts
Scenario: Separate
Given a friendly NPC
When the player presses the Confront key
Then the five confront actions are offered and Talk is not among them</t>
        </is>
      </c>
      <c r="F162" s="9" t="inlineStr">
        <is>
          <t>Must</t>
        </is>
      </c>
      <c r="G162" s="9" t="inlineStr">
        <is>
          <t>M</t>
        </is>
      </c>
      <c r="H162" s="9">
        <f>VLOOKUP(G162,'Read Me'!$A$13:$C$15,2,FALSE)</f>
        <v/>
      </c>
      <c r="I162" s="9">
        <f>VLOOKUP(G162,'Read Me'!$A$13:$C$15,3,FALSE)</f>
        <v/>
      </c>
      <c r="J162" s="9" t="inlineStr">
        <is>
          <t>M9a</t>
        </is>
      </c>
      <c r="K162" s="9" t="inlineStr">
        <is>
          <t>US-265</t>
        </is>
      </c>
      <c r="L162" s="9" t="inlineStr">
        <is>
          <t>SDC-11</t>
        </is>
      </c>
      <c r="M162" s="9" t="inlineStr">
        <is>
          <t>Intents mapped from keys; effects that spread to bystanders.</t>
        </is>
      </c>
      <c r="N162" s="9" t="inlineStr">
        <is>
          <t>NPC foundation, trade and life (owner, 2026-10-04, D-52)</t>
        </is>
      </c>
      <c r="O162" s="16" t="inlineStr">
        <is>
          <t>Done</t>
        </is>
      </c>
    </row>
    <row r="163" ht="124.15" customHeight="1" s="20">
      <c r="A163" s="7" t="inlineStr">
        <is>
          <t>US-267</t>
        </is>
      </c>
      <c r="B163" s="9" t="inlineStr">
        <is>
          <t>E26</t>
        </is>
      </c>
      <c r="C163" s="9" t="inlineStr">
        <is>
          <t>Actions and the Actions pop-up</t>
        </is>
      </c>
      <c r="D163" s="9" t="inlineStr">
        <is>
          <t>As the player, I want to see every action an NPC could offer and what each needs, while the menu shows only what I can do now, so that I know how to unlock the rest.</t>
        </is>
      </c>
      <c r="E163" s="9" t="inlineStr">
        <is>
          <t>Scenario: Hidden
Given a trader whose trade needs the attitude friendly and who is wary of the hero
When the player right-clicks it
Then Trade is not in the menu
Scenario: Pop-up
Given the same trader
When the player opens the Actions pop-up
Then Trade is listed with 'needs: friendly or better'</t>
        </is>
      </c>
      <c r="F163" s="9" t="inlineStr">
        <is>
          <t>Must</t>
        </is>
      </c>
      <c r="G163" s="9" t="inlineStr">
        <is>
          <t>S</t>
        </is>
      </c>
      <c r="H163" s="9">
        <f>VLOOKUP(G163,'Read Me'!$A$13:$C$15,2,FALSE)</f>
        <v/>
      </c>
      <c r="I163" s="9">
        <f>VLOOKUP(G163,'Read Me'!$A$13:$C$15,3,FALSE)</f>
        <v/>
      </c>
      <c r="J163" s="9" t="inlineStr">
        <is>
          <t>M9a</t>
        </is>
      </c>
      <c r="K163" s="9" t="inlineStr">
        <is>
          <t>US-265</t>
        </is>
      </c>
      <c r="L163" s="9" t="inlineStr">
        <is>
          <t>INT-09</t>
        </is>
      </c>
      <c r="M163" s="9" t="inlineStr">
        <is>
          <t>Filtering with std::ranges; turning conditions into readable text.</t>
        </is>
      </c>
      <c r="N163" s="9" t="inlineStr">
        <is>
          <t>NPC foundation, trade and life (owner, 2026-10-04, D-52)</t>
        </is>
      </c>
      <c r="O163" s="16" t="inlineStr">
        <is>
          <t>Done</t>
        </is>
      </c>
    </row>
    <row r="164" ht="124.15" customHeight="1" s="20">
      <c r="A164" s="7" t="inlineStr">
        <is>
          <t>US-268</t>
        </is>
      </c>
      <c r="B164" s="9" t="inlineStr">
        <is>
          <t>E26</t>
        </is>
      </c>
      <c r="C164" s="9" t="inlineStr">
        <is>
          <t>Editor NPC panel</t>
        </is>
      </c>
      <c r="D164" s="9" t="inlineStr">
        <is>
          <t>As the owner, I want to select a placed NPC in the Editor and set its name, classes, attitude, family, dialogues by partner type and actions, so that I set every NPC by hand.</t>
        </is>
      </c>
      <c r="E164" s="9" t="inlineStr">
        <is>
          <t>Scenario: Edit
Given a placed wanderer selected
When the owner gives it the classes trader and elder, the attitude friendly and its own player dialogue, and saves
Then the level holds only those differences and F1 plays with them
Scenario: Actions
Given the actions list of a placed NPC
When the owner unticks Give gift and plays
Then that NPC's menu does not offer Give gift
Scenario: Undo
Given five panel changes
When the owner presses Ctrl+Z five times
Then the NPC is as it was</t>
        </is>
      </c>
      <c r="F164" s="9" t="inlineStr">
        <is>
          <t>Must</t>
        </is>
      </c>
      <c r="G164" s="9" t="inlineStr">
        <is>
          <t>L</t>
        </is>
      </c>
      <c r="H164" s="9">
        <f>VLOOKUP(G164,'Read Me'!$A$13:$C$15,2,FALSE)</f>
        <v/>
      </c>
      <c r="I164" s="9">
        <f>VLOOKUP(G164,'Read Me'!$A$13:$C$15,3,FALSE)</f>
        <v/>
      </c>
      <c r="J164" s="9" t="inlineStr">
        <is>
          <t>M9a</t>
        </is>
      </c>
      <c r="K164" s="9" t="inlineStr">
        <is>
          <t>US-267, US-125</t>
        </is>
      </c>
      <c r="L164" s="9" t="inlineStr">
        <is>
          <t>EDT-08, SDC-08</t>
        </is>
      </c>
      <c r="M164" s="9" t="inlineStr">
        <is>
          <t>Forms bound to data; saving only the differences.</t>
        </is>
      </c>
      <c r="N164" s="9" t="inlineStr">
        <is>
          <t>NPC foundation, trade and life (owner, 2026-10-04, D-52)</t>
        </is>
      </c>
      <c r="O164" s="16" t="inlineStr">
        <is>
          <t>Done</t>
        </is>
      </c>
    </row>
    <row r="165" ht="124.15" customHeight="1" s="20">
      <c r="A165" s="7" t="inlineStr">
        <is>
          <t>US-269</t>
        </is>
      </c>
      <c r="B165" s="9" t="inlineStr">
        <is>
          <t>E26</t>
        </is>
      </c>
      <c r="C165" s="9" t="inlineStr">
        <is>
          <t>Editor kinds tab and map markers</t>
        </is>
      </c>
      <c r="D165" s="9" t="inlineStr">
        <is>
          <t>As the owner, I want a tab for each NPC kind's defaults and a colour ring with an icon under each placed NPC, so that I can change a whole kind at once and read a level at a glance.</t>
        </is>
      </c>
      <c r="E165" s="9" t="inlineStr">
        <is>
          <t>Scenario: Kind
Given the kinds tab
When the owner sets goblin to neutral and saves
Then every placed goblin without an override is neutral in play
Scenario: Markers
Given a level with a trader, a guard and a goblin
When the owner opens it in the Editor
Then each shows its ring and icon, and none shows in Game mode</t>
        </is>
      </c>
      <c r="F165" s="9" t="inlineStr">
        <is>
          <t>Must</t>
        </is>
      </c>
      <c r="G165" s="9" t="inlineStr">
        <is>
          <t>M</t>
        </is>
      </c>
      <c r="H165" s="9">
        <f>VLOOKUP(G165,'Read Me'!$A$13:$C$15,2,FALSE)</f>
        <v/>
      </c>
      <c r="I165" s="9">
        <f>VLOOKUP(G165,'Read Me'!$A$13:$C$15,3,FALSE)</f>
        <v/>
      </c>
      <c r="J165" s="9" t="inlineStr">
        <is>
          <t>M9a</t>
        </is>
      </c>
      <c r="K165" s="9" t="inlineStr">
        <is>
          <t>US-268</t>
        </is>
      </c>
      <c r="L165" s="9" t="inlineStr">
        <is>
          <t>EDT-08</t>
        </is>
      </c>
      <c r="M165" s="9" t="inlineStr">
        <is>
          <t>Reusing a widget for two data sources; stable JSON field order.</t>
        </is>
      </c>
      <c r="N165" s="9" t="inlineStr">
        <is>
          <t>NPC foundation, trade and life (owner, 2026-10-04, D-52)</t>
        </is>
      </c>
      <c r="O165" s="16" t="inlineStr">
        <is>
          <t>Done</t>
        </is>
      </c>
    </row>
    <row r="166" ht="124.15" customHeight="1" s="20">
      <c r="A166" s="7" t="inlineStr">
        <is>
          <t>US-270</t>
        </is>
      </c>
      <c r="B166" s="9" t="inlineStr">
        <is>
          <t>E26</t>
        </is>
      </c>
      <c r="C166" s="9" t="inlineStr">
        <is>
          <t>NPC test level</t>
        </is>
      </c>
      <c r="D166" s="9" t="inlineStr">
        <is>
          <t>As the owner, I want a test level with seven NPCs that shows every M9a feature, so that I can try it all in one walk.</t>
        </is>
      </c>
      <c r="E166" s="9" t="inlineStr">
        <is>
          <t>Scenario: Walk-through
Given `odysseus.exe --level assets/levels/npc-test.json`
When the owner follows the checklist
Then every NPC offers exactly the actions its classes and overrides allow, the Actions pop-up explains the rest, confront changes opinions, the goblin attacks
Scenario: Loads clean
Given the test level
When the game loads it
Then the log has no class, kind, interaction or dialogue error</t>
        </is>
      </c>
      <c r="F166" s="9" t="inlineStr">
        <is>
          <t>Must</t>
        </is>
      </c>
      <c r="G166" s="9" t="inlineStr">
        <is>
          <t>S</t>
        </is>
      </c>
      <c r="H166" s="9">
        <f>VLOOKUP(G166,'Read Me'!$A$13:$C$15,2,FALSE)</f>
        <v/>
      </c>
      <c r="I166" s="9">
        <f>VLOOKUP(G166,'Read Me'!$A$13:$C$15,3,FALSE)</f>
        <v/>
      </c>
      <c r="J166" s="9" t="inlineStr">
        <is>
          <t>M9a</t>
        </is>
      </c>
      <c r="K166" s="9" t="inlineStr">
        <is>
          <t>US-269</t>
        </is>
      </c>
      <c r="L166" s="9" t="inlineStr">
        <is>
          <t>SDC-08..SDC-11, INT-09</t>
        </is>
      </c>
      <c r="M166" s="9" t="inlineStr">
        <is>
          <t>Smoke tests that load every shipped file.</t>
        </is>
      </c>
      <c r="N166" s="9" t="inlineStr">
        <is>
          <t>NPC foundation, trade and life (owner, 2026-10-04, D-52)</t>
        </is>
      </c>
      <c r="O166" s="16" t="inlineStr">
        <is>
          <t>Done</t>
        </is>
      </c>
    </row>
    <row r="167" ht="124.15" customHeight="1" s="20">
      <c r="A167" s="7" t="inlineStr">
        <is>
          <t>US-280</t>
        </is>
      </c>
      <c r="B167" s="9" t="inlineStr">
        <is>
          <t>E27</t>
        </is>
      </c>
      <c r="C167" s="9" t="inlineStr">
        <is>
          <t>Currencies per region</t>
        </is>
      </c>
      <c r="D167" s="9" t="inlineStr">
        <is>
          <t>As the owner, I want to choose in the Editor which items are currency in a region, so that trade can use money where I want it.</t>
        </is>
      </c>
      <c r="E167" s="9" t="inlineStr">
        <is>
          <t>Scenario: Set
Given the test level's settings
When the owner marks shells as currency with value 1 and saves
Then trades in that level accept shells
Scenario: None
Given a level with no currency
When the player trades
Then only barter is offered</t>
        </is>
      </c>
      <c r="F167" s="9" t="inlineStr">
        <is>
          <t>Must</t>
        </is>
      </c>
      <c r="G167" s="9" t="inlineStr">
        <is>
          <t>S</t>
        </is>
      </c>
      <c r="H167" s="9">
        <f>VLOOKUP(G167,'Read Me'!$A$13:$C$15,2,FALSE)</f>
        <v/>
      </c>
      <c r="I167" s="9">
        <f>VLOOKUP(G167,'Read Me'!$A$13:$C$15,3,FALSE)</f>
        <v/>
      </c>
      <c r="J167" s="9" t="inlineStr">
        <is>
          <t>M9b</t>
        </is>
      </c>
      <c r="K167" s="9" t="inlineStr">
        <is>
          <t>US-270</t>
        </is>
      </c>
      <c r="L167" s="9" t="inlineStr">
        <is>
          <t>INT-11, EDT-08</t>
        </is>
      </c>
      <c r="M167" s="9" t="inlineStr">
        <is>
          <t>Value types; why money is an integer.</t>
        </is>
      </c>
      <c r="N167" s="9" t="inlineStr">
        <is>
          <t>NPC foundation, trade and life (owner, 2026-10-04, D-52)</t>
        </is>
      </c>
      <c r="O167" s="16" t="inlineStr">
        <is>
          <t>Done</t>
        </is>
      </c>
    </row>
    <row r="168" ht="124.15" customHeight="1" s="20">
      <c r="A168" s="7" t="inlineStr">
        <is>
          <t>US-281</t>
        </is>
      </c>
      <c r="B168" s="9" t="inlineStr">
        <is>
          <t>E27</t>
        </is>
      </c>
      <c r="C168" s="9" t="inlineStr">
        <is>
          <t>Trader stock</t>
        </is>
      </c>
      <c r="D168" s="9" t="inlineStr">
        <is>
          <t>As the player, I want traders to have limited goods that come back each day and to pay more for what they want, so that trade is a choice.</t>
        </is>
      </c>
      <c r="E168" s="9" t="inlineStr">
        <is>
          <t>Scenario: Restock
Given a trader with 0 flint and a restock of 2 per day
When a day passes
Then it has 2 flint
Scenario: Wants
Given a trader who wants berries
When the hero sells berries and then furs
Then berries count at full value and furs at half
Scenario: Saved
Given stock after a trade
When save and load
Then the stock is the same</t>
        </is>
      </c>
      <c r="F168" s="9" t="inlineStr">
        <is>
          <t>Must</t>
        </is>
      </c>
      <c r="G168" s="9" t="inlineStr">
        <is>
          <t>M</t>
        </is>
      </c>
      <c r="H168" s="9">
        <f>VLOOKUP(G168,'Read Me'!$A$13:$C$15,2,FALSE)</f>
        <v/>
      </c>
      <c r="I168" s="9">
        <f>VLOOKUP(G168,'Read Me'!$A$13:$C$15,3,FALSE)</f>
        <v/>
      </c>
      <c r="J168" s="9" t="inlineStr">
        <is>
          <t>M9b</t>
        </is>
      </c>
      <c r="K168" s="9" t="inlineStr">
        <is>
          <t>US-280</t>
        </is>
      </c>
      <c r="L168" s="9" t="inlineStr">
        <is>
          <t>INT-11</t>
        </is>
      </c>
      <c r="M168" s="9" t="inlineStr">
        <is>
          <t>Integer arithmetic and rounding rules written down.</t>
        </is>
      </c>
      <c r="N168" s="9" t="inlineStr">
        <is>
          <t>NPC foundation, trade and life (owner, 2026-10-04, D-52)</t>
        </is>
      </c>
      <c r="O168" s="16" t="inlineStr">
        <is>
          <t>Done</t>
        </is>
      </c>
    </row>
    <row r="169" ht="124.15" customHeight="1" s="20">
      <c r="A169" s="7" t="inlineStr">
        <is>
          <t>US-282</t>
        </is>
      </c>
      <c r="B169" s="9" t="inlineStr">
        <is>
          <t>E27</t>
        </is>
      </c>
      <c r="C169" s="9" t="inlineStr">
        <is>
          <t>Supply and demand, and reputation</t>
        </is>
      </c>
      <c r="D169" s="9" t="inlineStr">
        <is>
          <t>As the player, I want prices to rise when goods are scarce and fall when they are plentiful, and better deals from people who like me, so that the economy feels real.</t>
        </is>
      </c>
      <c r="E169" s="9" t="inlineStr">
        <is>
          <t>Scenario: Scarce
Given flint scarce in the region
When the hero asks its price twice a day apart while it gets scarcer
Then the second price is higher
Scenario: Reputation
Given two traders with equal stock, one friendly and one suspicious
When the hero asks the same item's price
Then the friendly one is cheaper
Scenario: Gate
Given a trader whose rare goods need friendly
When the wary hero opens trade
Then the rare goods are not offered and the Actions pop-up says why</t>
        </is>
      </c>
      <c r="F169" s="9" t="inlineStr">
        <is>
          <t>Must</t>
        </is>
      </c>
      <c r="G169" s="9" t="inlineStr">
        <is>
          <t>M</t>
        </is>
      </c>
      <c r="H169" s="9">
        <f>VLOOKUP(G169,'Read Me'!$A$13:$C$15,2,FALSE)</f>
        <v/>
      </c>
      <c r="I169" s="9">
        <f>VLOOKUP(G169,'Read Me'!$A$13:$C$15,3,FALSE)</f>
        <v/>
      </c>
      <c r="J169" s="9" t="inlineStr">
        <is>
          <t>M9b</t>
        </is>
      </c>
      <c r="K169" s="9" t="inlineStr">
        <is>
          <t>US-281, US-264</t>
        </is>
      </c>
      <c r="L169" s="9" t="inlineStr">
        <is>
          <t>INT-12, SDC-10</t>
        </is>
      </c>
      <c r="M169" s="9" t="inlineStr">
        <is>
          <t>Fixed-point formulas; clamping; tuning through data.</t>
        </is>
      </c>
      <c r="N169" s="9" t="inlineStr">
        <is>
          <t>NPC foundation, trade and life (owner, 2026-10-04, D-52)</t>
        </is>
      </c>
      <c r="O169" s="16" t="inlineStr">
        <is>
          <t>Done</t>
        </is>
      </c>
    </row>
    <row r="170" ht="124.15" customHeight="1" s="20">
      <c r="A170" s="7" t="inlineStr">
        <is>
          <t>US-283</t>
        </is>
      </c>
      <c r="B170" s="9" t="inlineStr">
        <is>
          <t>E27</t>
        </is>
      </c>
      <c r="C170" s="9" t="inlineStr">
        <is>
          <t>Trade screen for any trader</t>
        </is>
      </c>
      <c r="D170" s="9" t="inlineStr">
        <is>
          <t>As the player, I want one trade screen for every trader, with barter and currency, so that I can trade with a passing NPC as with a rival camp.</t>
        </is>
      </c>
      <c r="E170" s="9" t="inlineStr">
        <is>
          <t>Scenario: Trade
Given a friendly trader with 6 flint and the hero with 10 berries
When the player gives berries worth 2 flint
Then the hero has 2 more flint and the trader 2 fewer, the berries moved
Scenario: Currency
Given a region with shells as currency
When the player buys 1 fur for shells
Then the shells move at the shown price
Scenario: Rivals unchanged
Given a rival camp
When the player chooses Barter
Then it works as before this story</t>
        </is>
      </c>
      <c r="F170" s="9" t="inlineStr">
        <is>
          <t>Must</t>
        </is>
      </c>
      <c r="G170" s="9" t="inlineStr">
        <is>
          <t>L</t>
        </is>
      </c>
      <c r="H170" s="9">
        <f>VLOOKUP(G170,'Read Me'!$A$13:$C$15,2,FALSE)</f>
        <v/>
      </c>
      <c r="I170" s="9">
        <f>VLOOKUP(G170,'Read Me'!$A$13:$C$15,3,FALSE)</f>
        <v/>
      </c>
      <c r="J170" s="9" t="inlineStr">
        <is>
          <t>M9b</t>
        </is>
      </c>
      <c r="K170" s="9" t="inlineStr">
        <is>
          <t>US-282</t>
        </is>
      </c>
      <c r="L170" s="9" t="inlineStr">
        <is>
          <t>INT-11</t>
        </is>
      </c>
      <c r="M170" s="9" t="inlineStr">
        <is>
          <t>std::variant for 'one of several kinds'.</t>
        </is>
      </c>
      <c r="N170" s="9" t="inlineStr">
        <is>
          <t>NPC foundation, trade and life (owner, 2026-10-04, D-52)</t>
        </is>
      </c>
      <c r="O170" s="16" t="inlineStr">
        <is>
          <t>Done</t>
        </is>
      </c>
    </row>
    <row r="171" ht="124.15" customHeight="1" s="20">
      <c r="A171" s="7" t="inlineStr">
        <is>
          <t>US-284</t>
        </is>
      </c>
      <c r="B171" s="9" t="inlineStr">
        <is>
          <t>E27</t>
        </is>
      </c>
      <c r="C171" s="9" t="inlineStr">
        <is>
          <t>Editor trade panel</t>
        </is>
      </c>
      <c r="D171" s="9" t="inlineStr">
        <is>
          <t>As the owner, I want to set a trader's stock, restock, wants and price settings in the Editor, so that each trader is my own.</t>
        </is>
      </c>
      <c r="E171" s="9" t="inlineStr">
        <is>
          <t>Scenario: Edit
Given the test level's trader selected
When the owner adds 3 furs, a restock of 1 per day and the want berries, and saves
Then play shows the furs and restocks one a day
Scenario: Walk-through
Given the extended checklist
When the owner follows the trade steps
Then each step behaves as written</t>
        </is>
      </c>
      <c r="F171" s="9" t="inlineStr">
        <is>
          <t>Must</t>
        </is>
      </c>
      <c r="G171" s="9" t="inlineStr">
        <is>
          <t>M</t>
        </is>
      </c>
      <c r="H171" s="9">
        <f>VLOOKUP(G171,'Read Me'!$A$13:$C$15,2,FALSE)</f>
        <v/>
      </c>
      <c r="I171" s="9">
        <f>VLOOKUP(G171,'Read Me'!$A$13:$C$15,3,FALSE)</f>
        <v/>
      </c>
      <c r="J171" s="9" t="inlineStr">
        <is>
          <t>M9b</t>
        </is>
      </c>
      <c r="K171" s="9" t="inlineStr">
        <is>
          <t>US-283</t>
        </is>
      </c>
      <c r="L171" s="9" t="inlineStr">
        <is>
          <t>EDT-08, INT-11</t>
        </is>
      </c>
      <c r="M171" s="9" t="inlineStr">
        <is>
          <t>Table widgets bound to maps.</t>
        </is>
      </c>
      <c r="N171" s="9" t="inlineStr">
        <is>
          <t>NPC foundation, trade and life (owner, 2026-10-04, D-52)</t>
        </is>
      </c>
      <c r="O171" s="16" t="inlineStr">
        <is>
          <t>Done</t>
        </is>
      </c>
    </row>
    <row r="172" ht="124.15" customHeight="1" s="20">
      <c r="A172" s="7" t="inlineStr">
        <is>
          <t>US-290</t>
        </is>
      </c>
      <c r="B172" s="9" t="inlineStr">
        <is>
          <t>E28</t>
        </is>
      </c>
      <c r="C172" s="9" t="inlineStr">
        <is>
          <t>Day and night schedules</t>
        </is>
      </c>
      <c r="D172" s="9" t="inlineStr">
        <is>
          <t>As the owner, I want to give every NPC a daily schedule in the Editor, so that people work, eat, meet and sleep at their own hours.</t>
        </is>
      </c>
      <c r="E172" s="9" t="inlineStr">
        <is>
          <t>Scenario: Follow
Given an NPC scheduled to work at the market from 06:00 and sleep at home from 21:00
When the day passes
Then it is at the market at 10:00 and at home at 22:00
Scenario: Interrupt
Given the same NPC very hungry at 10:00
When it eats
Then it returns to the market afterwards</t>
        </is>
      </c>
      <c r="F172" s="9" t="inlineStr">
        <is>
          <t>Must</t>
        </is>
      </c>
      <c r="G172" s="9" t="inlineStr">
        <is>
          <t>L</t>
        </is>
      </c>
      <c r="H172" s="9">
        <f>VLOOKUP(G172,'Read Me'!$A$13:$C$15,2,FALSE)</f>
        <v/>
      </c>
      <c r="I172" s="9">
        <f>VLOOKUP(G172,'Read Me'!$A$13:$C$15,3,FALSE)</f>
        <v/>
      </c>
      <c r="J172" s="9" t="inlineStr">
        <is>
          <t>M9c</t>
        </is>
      </c>
      <c r="K172" s="9" t="inlineStr">
        <is>
          <t>US-284</t>
        </is>
      </c>
      <c r="L172" s="9" t="inlineStr">
        <is>
          <t>SDC-12, SDC-07, EDT-08</t>
        </is>
      </c>
      <c r="M172" s="9" t="inlineStr">
        <is>
          <t>Time-based state machines; interruptions and resumption.</t>
        </is>
      </c>
      <c r="N172" s="9" t="inlineStr">
        <is>
          <t>NPC foundation, trade and life (owner, 2026-10-04, D-52)</t>
        </is>
      </c>
      <c r="O172" s="16" t="inlineStr">
        <is>
          <t>Done</t>
        </is>
      </c>
    </row>
    <row r="173" ht="124.15" customHeight="1" s="20">
      <c r="A173" s="7" t="inlineStr">
        <is>
          <t>US-291</t>
        </is>
      </c>
      <c r="B173" s="9" t="inlineStr">
        <is>
          <t>E28</t>
        </is>
      </c>
      <c r="C173" s="9" t="inlineStr">
        <is>
          <t>Action sources</t>
        </is>
      </c>
      <c r="D173" s="9" t="inlineStr">
        <is>
          <t>As the owner, I want NPCs to act from their classes, from my custom actions and from world events, and later from quests, all set in the Editor, so that I control what people do.</t>
        </is>
      </c>
      <c r="E173" s="9" t="inlineStr">
        <is>
          <t>Scenario: Class
Given an NPC of class guard whose class action is patrol
When it is idle on duty
Then it patrols
Scenario: Event
Given an event action 'help put out fire' for class villager
When a fire starts within 12 m of a villager
Then the villager goes to help
Scenario: Hook
Given the quest-action source
When the game runs
Then it offers nothing and costs nothing until M10</t>
        </is>
      </c>
      <c r="F173" s="9" t="inlineStr">
        <is>
          <t>Must</t>
        </is>
      </c>
      <c r="G173" s="9" t="inlineStr">
        <is>
          <t>M</t>
        </is>
      </c>
      <c r="H173" s="9">
        <f>VLOOKUP(G173,'Read Me'!$A$13:$C$15,2,FALSE)</f>
        <v/>
      </c>
      <c r="I173" s="9">
        <f>VLOOKUP(G173,'Read Me'!$A$13:$C$15,3,FALSE)</f>
        <v/>
      </c>
      <c r="J173" s="9" t="inlineStr">
        <is>
          <t>M9c</t>
        </is>
      </c>
      <c r="K173" s="9" t="inlineStr">
        <is>
          <t>US-290</t>
        </is>
      </c>
      <c r="L173" s="9" t="inlineStr">
        <is>
          <t>SDC-12, EDT-08</t>
        </is>
      </c>
      <c r="M173" s="9" t="inlineStr">
        <is>
          <t>Strategy objects as sources; extension points.</t>
        </is>
      </c>
      <c r="N173" s="9" t="inlineStr">
        <is>
          <t>NPC foundation, trade and life (owner, 2026-10-04, D-52)</t>
        </is>
      </c>
      <c r="O173" s="16" t="inlineStr">
        <is>
          <t>Done</t>
        </is>
      </c>
    </row>
    <row r="174" ht="124.15" customHeight="1" s="20">
      <c r="A174" s="7" t="inlineStr">
        <is>
          <t>US-292</t>
        </is>
      </c>
      <c r="B174" s="9" t="inlineStr">
        <is>
          <t>E28</t>
        </is>
      </c>
      <c r="C174" s="9" t="inlineStr">
        <is>
          <t>NPCs act on each other</t>
        </is>
      </c>
      <c r="D174" s="9" t="inlineStr">
        <is>
          <t>As the player, I want NPCs to talk, fight, trade, give gifts and confront each other with the same rules as me, so that the world lives without me.</t>
        </is>
      </c>
      <c r="E174" s="9" t="inlineStr">
        <is>
          <t>Scenario: Trade
Given two traders near each other where one wants what the other has
When they are idle
Then they trade and both stocks change
Scenario: Fight
Given two NPCs who are hostile to each other
When they meet
Then they fight and the bystanders' opinions change
Scenario: Budget
Given the 100,000-person load test
When a day is simulated
Then it still meets ADR-022</t>
        </is>
      </c>
      <c r="F174" s="9" t="inlineStr">
        <is>
          <t>Must</t>
        </is>
      </c>
      <c r="G174" s="9" t="inlineStr">
        <is>
          <t>L</t>
        </is>
      </c>
      <c r="H174" s="9">
        <f>VLOOKUP(G174,'Read Me'!$A$13:$C$15,2,FALSE)</f>
        <v/>
      </c>
      <c r="I174" s="9">
        <f>VLOOKUP(G174,'Read Me'!$A$13:$C$15,3,FALSE)</f>
        <v/>
      </c>
      <c r="J174" s="9" t="inlineStr">
        <is>
          <t>M9c</t>
        </is>
      </c>
      <c r="K174" s="9" t="inlineStr">
        <is>
          <t>US-291</t>
        </is>
      </c>
      <c r="L174" s="9" t="inlineStr">
        <is>
          <t>INT-10</t>
        </is>
      </c>
      <c r="M174" s="9" t="inlineStr">
        <is>
          <t>Symmetric actor and target; budgets per tick.</t>
        </is>
      </c>
      <c r="N174" s="9" t="inlineStr">
        <is>
          <t>NPC foundation, trade and life (owner, 2026-10-04, D-52)</t>
        </is>
      </c>
      <c r="O174" s="16" t="inlineStr">
        <is>
          <t>Done</t>
        </is>
      </c>
    </row>
    <row r="175" ht="124.15" customHeight="1" s="20">
      <c r="A175" s="7" t="inlineStr">
        <is>
          <t>US-293</t>
        </is>
      </c>
      <c r="B175" s="9" t="inlineStr">
        <is>
          <t>E28</t>
        </is>
      </c>
      <c r="C175" s="9" t="inlineStr">
        <is>
          <t>Default interactions by partner type</t>
        </is>
      </c>
      <c r="D175" s="9" t="inlineStr">
        <is>
          <t>As the owner, I want each class and NPC to have default dialogues and actions for meeting the player, other classes, animals and the environment, with a list I can extend, so that every meeting has a sensible reaction.</t>
        </is>
      </c>
      <c r="E175" s="9" t="inlineStr">
        <is>
          <t>Scenario: Animals
Given a hunter class whose Animals default is hunt
When a deer is near an idle hunter
Then the hunter hunts it
Scenario: Extend
Given a new partner type 'buildings' added to the data file
When the Editor opens
Then the NPC panel offers defaults for buildings</t>
        </is>
      </c>
      <c r="F175" s="9" t="inlineStr">
        <is>
          <t>Must</t>
        </is>
      </c>
      <c r="G175" s="9" t="inlineStr">
        <is>
          <t>M</t>
        </is>
      </c>
      <c r="H175" s="9">
        <f>VLOOKUP(G175,'Read Me'!$A$13:$C$15,2,FALSE)</f>
        <v/>
      </c>
      <c r="I175" s="9">
        <f>VLOOKUP(G175,'Read Me'!$A$13:$C$15,3,FALSE)</f>
        <v/>
      </c>
      <c r="J175" s="9" t="inlineStr">
        <is>
          <t>M9c</t>
        </is>
      </c>
      <c r="K175" s="9" t="inlineStr">
        <is>
          <t>US-292</t>
        </is>
      </c>
      <c r="L175" s="9" t="inlineStr">
        <is>
          <t>INT-10</t>
        </is>
      </c>
      <c r="M175" s="9" t="inlineStr">
        <is>
          <t>Data-driven enumerations.</t>
        </is>
      </c>
      <c r="N175" s="9" t="inlineStr">
        <is>
          <t>NPC foundation, trade and life (owner, 2026-10-04, D-52)</t>
        </is>
      </c>
      <c r="O175" s="16" t="inlineStr">
        <is>
          <t>Done</t>
        </is>
      </c>
    </row>
    <row r="176" ht="124.15" customHeight="1" s="20">
      <c r="A176" s="7" t="inlineStr">
        <is>
          <t>US-294</t>
        </is>
      </c>
      <c r="B176" s="9" t="inlineStr">
        <is>
          <t>E28</t>
        </is>
      </c>
      <c r="C176" s="9" t="inlineStr">
        <is>
          <t>Living test level</t>
        </is>
      </c>
      <c r="D176" s="9" t="inlineStr">
        <is>
          <t>As the owner, I want the test level to show a day of NPC life, and the 100,000-person soak to pass, so that I can judge M9c in one sitting.</t>
        </is>
      </c>
      <c r="E176" s="9" t="inlineStr">
        <is>
          <t>Scenario: Day
Given the test level
When the owner watches one in-game day
Then every NPC follows its schedule and at least one NPC-to-NPC trade and one conversation happen
Scenario: Soak
Given 100,000 persons
When 10 in-game days run headless
Then the budget of ADR-022 holds and the determinism hash is stable</t>
        </is>
      </c>
      <c r="F176" s="9" t="inlineStr">
        <is>
          <t>Must</t>
        </is>
      </c>
      <c r="G176" s="9" t="inlineStr">
        <is>
          <t>S</t>
        </is>
      </c>
      <c r="H176" s="9">
        <f>VLOOKUP(G176,'Read Me'!$A$13:$C$15,2,FALSE)</f>
        <v/>
      </c>
      <c r="I176" s="9">
        <f>VLOOKUP(G176,'Read Me'!$A$13:$C$15,3,FALSE)</f>
        <v/>
      </c>
      <c r="J176" s="9" t="inlineStr">
        <is>
          <t>M9c</t>
        </is>
      </c>
      <c r="K176" s="9" t="inlineStr">
        <is>
          <t>US-293</t>
        </is>
      </c>
      <c r="L176" s="9" t="inlineStr">
        <is>
          <t>SDC-12, INT-10, NFR-08</t>
        </is>
      </c>
      <c r="M176" s="9" t="inlineStr">
        <is>
          <t>Soak tests and what they catch.</t>
        </is>
      </c>
      <c r="N176" s="9" t="inlineStr">
        <is>
          <t>NPC foundation, trade and life (owner, 2026-10-04, D-52)</t>
        </is>
      </c>
      <c r="O176" s="16" t="inlineStr">
        <is>
          <t>Done</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2026-10-05T14:02:36Z</dcterms:modified>
  <cp:lastModifiedBy>Amek</cp:lastModifiedBy>
</cp:coreProperties>
</file>