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ead Me" sheetId="1" state="visible" r:id="rId1"/>
    <sheet xmlns:r="http://schemas.openxmlformats.org/officeDocument/2006/relationships" name="MVP Definition" sheetId="2" state="visible" r:id="rId2"/>
    <sheet xmlns:r="http://schemas.openxmlformats.org/officeDocument/2006/relationships" name="Timeline" sheetId="3" state="visible" r:id="rId3"/>
    <sheet xmlns:r="http://schemas.openxmlformats.org/officeDocument/2006/relationships" name="Dependencies" sheetId="4" state="visible" r:id="rId4"/>
    <sheet xmlns:r="http://schemas.openxmlformats.org/officeDocument/2006/relationships" name="Epics" sheetId="5" state="visible" r:id="rId5"/>
    <sheet xmlns:r="http://schemas.openxmlformats.org/officeDocument/2006/relationships" name="User Stories" sheetId="6" state="visible" r:id="rId6"/>
    <sheet xmlns:r="http://schemas.openxmlformats.org/officeDocument/2006/relationships" name="Cut List" sheetId="7" state="visible" r:id="rId7"/>
    <sheet xmlns:r="http://schemas.openxmlformats.org/officeDocument/2006/relationships" name="Ready &amp; Done" sheetId="8" state="visible" r:id="rId8"/>
  </sheets>
  <definedNames>
    <definedName name="_xlnm._FilterDatabase" localSheetId="5" hidden="1">'User Stories'!$A$4:$O$48</definedName>
  </definedNames>
  <calcPr calcId="18102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Arial"/>
      <b val="1"/>
      <color rgb="FF2F4858"/>
      <sz val="16"/>
    </font>
    <font>
      <name val="Arial"/>
      <i val="1"/>
      <color rgb="FF666666"/>
      <sz val="10"/>
    </font>
    <font>
      <name val="Arial"/>
      <b val="1"/>
      <sz val="10"/>
    </font>
    <font>
      <name val="Arial"/>
      <b val="1"/>
      <color rgb="FF2F4858"/>
      <sz val="12"/>
    </font>
    <font>
      <name val="Arial"/>
      <sz val="10"/>
    </font>
    <font>
      <name val="Arial"/>
      <b val="1"/>
      <color rgb="FFFFFFFF"/>
      <sz val="10"/>
    </font>
    <font>
      <name val="Arial"/>
      <color rgb="FF0000FF"/>
      <sz val="10"/>
    </font>
    <font>
      <name val="Arial"/>
      <b val="1"/>
      <color rgb="FFFFFFFF"/>
      <sz val="7"/>
    </font>
  </fonts>
  <fills count="4">
    <fill>
      <patternFill/>
    </fill>
    <fill>
      <patternFill patternType="gray125"/>
    </fill>
    <fill>
      <patternFill patternType="solid">
        <fgColor rgb="FF2F4858"/>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4" fillId="0" borderId="1" applyAlignment="1" pivotButton="0" quotePrefix="0" xfId="0">
      <alignment vertical="top" wrapText="1"/>
    </xf>
    <xf numFmtId="0" fontId="5" fillId="0" borderId="0" applyAlignment="1" pivotButton="0" quotePrefix="0" xfId="0">
      <alignment vertical="top" wrapText="1"/>
    </xf>
    <xf numFmtId="0" fontId="4" fillId="0" borderId="0" pivotButton="0" quotePrefix="0" xfId="0"/>
    <xf numFmtId="0" fontId="6" fillId="2" borderId="1" applyAlignment="1" pivotButton="0" quotePrefix="0" xfId="0">
      <alignment vertical="center" wrapText="1"/>
    </xf>
    <xf numFmtId="0" fontId="3"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vertical="top" wrapText="1"/>
    </xf>
    <xf numFmtId="0" fontId="3" fillId="0" borderId="0" pivotButton="0" quotePrefix="0" xfId="0"/>
    <xf numFmtId="164" fontId="7" fillId="3" borderId="0" pivotButton="0" quotePrefix="0" xfId="0"/>
    <xf numFmtId="0" fontId="8" fillId="2" borderId="0" applyAlignment="1" pivotButton="0" quotePrefix="0" xfId="0">
      <alignment horizontal="center"/>
    </xf>
    <xf numFmtId="0" fontId="7" fillId="3" borderId="1" applyAlignment="1" pivotButton="0" quotePrefix="0" xfId="0">
      <alignment vertical="top" wrapText="1"/>
    </xf>
    <xf numFmtId="164" fontId="5" fillId="0" borderId="1" applyAlignment="1" pivotButton="0" quotePrefix="0" xfId="0">
      <alignment vertical="top" wrapText="1"/>
    </xf>
    <xf numFmtId="164" fontId="3" fillId="0" borderId="1" applyAlignment="1" pivotButton="0" quotePrefix="0" xfId="0">
      <alignment vertical="top" wrapText="1"/>
    </xf>
    <xf numFmtId="0" fontId="5" fillId="3" borderId="1" applyAlignment="1" pivotButton="0" quotePrefix="0" xfId="0">
      <alignment vertical="top" wrapText="1"/>
    </xf>
    <xf numFmtId="9" fontId="5" fillId="0" borderId="1" applyAlignment="1" pivotButton="0" quotePrefix="0" xfId="0">
      <alignment vertical="top" wrapText="1"/>
    </xf>
    <xf numFmtId="9" fontId="3" fillId="0" borderId="1" applyAlignment="1" pivotButton="0" quotePrefix="0" xfId="0">
      <alignment vertical="top" wrapText="1"/>
    </xf>
    <xf numFmtId="0" fontId="5" fillId="0" borderId="0" applyAlignment="1" pivotButton="0" quotePrefix="0" xfId="0">
      <alignment vertical="top" wrapText="1"/>
    </xf>
    <xf numFmtId="0" fontId="0" fillId="0" borderId="0" pivotButton="0" quotePrefix="0" xfId="0"/>
    <xf numFmtId="16" fontId="5" fillId="0" borderId="1" applyAlignment="1" pivotButton="0" quotePrefix="0" xfId="0">
      <alignment vertical="top" wrapText="1"/>
    </xf>
  </cellXfs>
  <cellStyles count="1">
    <cellStyle name="Normal" xfId="0" builtinId="0"/>
  </cellStyles>
  <dxfs count="13">
    <dxf>
      <fill>
        <patternFill patternType="solid">
          <fgColor rgb="FFF8CBAD"/>
        </patternFill>
      </fill>
    </dxf>
    <dxf>
      <fill>
        <patternFill patternType="solid">
          <fgColor rgb="FFBDD7EE"/>
        </patternFill>
      </fill>
    </dxf>
    <dxf>
      <fill>
        <patternFill patternType="solid">
          <fgColor rgb="FFC6E0B4"/>
        </patternFill>
      </fill>
    </dxf>
    <dxf>
      <fill>
        <patternFill patternType="solid">
          <fgColor rgb="FFC6E0B4"/>
        </patternFill>
      </fill>
    </dxf>
    <dxf>
      <fill>
        <patternFill patternType="solid">
          <fgColor rgb="FFFFE699"/>
        </patternFill>
      </fill>
    </dxf>
    <dxf>
      <fill>
        <patternFill patternType="solid">
          <fgColor rgb="FFF8CBAD"/>
        </patternFill>
      </fill>
    </dxf>
    <dxf>
      <fill>
        <patternFill patternType="solid">
          <fgColor rgb="FFDDEBF7"/>
        </patternFill>
      </fill>
    </dxf>
    <dxf>
      <fill>
        <patternFill patternType="solid">
          <fgColor rgb="FFC6E0B4"/>
        </patternFill>
      </fill>
    </dxf>
    <dxf>
      <fill>
        <patternFill patternType="solid">
          <fgColor rgb="FFFFE699"/>
        </patternFill>
      </fill>
    </dxf>
    <dxf>
      <fill>
        <patternFill patternType="solid">
          <fgColor rgb="FFF8CBAD"/>
        </patternFill>
      </fill>
    </dxf>
    <dxf>
      <fill>
        <patternFill patternType="solid">
          <fgColor rgb="FF7F77DD"/>
        </patternFill>
      </fill>
    </dxf>
    <dxf>
      <fill>
        <patternFill patternType="solid">
          <fgColor rgb="FFC6E0B4"/>
        </patternFill>
      </fill>
    </dxf>
    <dxf>
      <fill>
        <patternFill patternType="solid">
          <fgColor rgb="FF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tabSelected="1" workbookViewId="0">
      <selection activeCell="A1" sqref="A1"/>
    </sheetView>
  </sheetViews>
  <sheetFormatPr baseColWidth="8" defaultRowHeight="15"/>
  <cols>
    <col width="110" customWidth="1" style="20" min="1" max="1"/>
    <col width="12" customWidth="1" style="20" min="2" max="3"/>
    <col width="50" customWidth="1" style="20" min="4" max="4"/>
  </cols>
  <sheetData>
    <row r="1" ht="20.25" customHeight="1" s="20">
      <c r="A1" s="1" t="inlineStr">
        <is>
          <t>Project Odyssey - MVP Backlog</t>
        </is>
      </c>
    </row>
    <row r="2">
      <c r="A2" s="2" t="inlineStr">
        <is>
          <t>Working tracker for developers. The source of truth is Project Odyssey.docx v2.0, chapter 12; this workbook is generated from the same data. Updated 2026-10-01: M7-M9 added (D-34); statuses of built stories set to Done.</t>
        </is>
      </c>
    </row>
    <row r="3"/>
    <row r="4" ht="15.75" customHeight="1" s="20">
      <c r="A4" s="3" t="inlineStr">
        <is>
          <t>How to use</t>
        </is>
      </c>
    </row>
    <row r="5" ht="25.5" customHeight="1" s="20">
      <c r="A5" s="19" t="inlineStr">
        <is>
          <t>1. Work milestone by milestone (Timeline sheet). Never start a story whose dependencies are not Decided (Dependencies sheet).</t>
        </is>
      </c>
    </row>
    <row r="6" ht="25.5" customHeight="1" s="20">
      <c r="A6" s="19" t="inlineStr">
        <is>
          <t>2. Update only the yellow cells: Status on the User Stories sheet, the project start date and week estimates on the Timeline sheet.</t>
        </is>
      </c>
    </row>
    <row r="7">
      <c r="A7" s="19" t="inlineStr">
        <is>
          <t>3. Status values: To do, In progress, Blocked, Done. A story is Done only when it meets the Definition of Done.</t>
        </is>
      </c>
    </row>
    <row r="8">
      <c r="A8" s="19" t="inlineStr">
        <is>
          <t>4. Epic progress and the timeline recalculate automatically.</t>
        </is>
      </c>
    </row>
    <row r="9">
      <c r="A9" s="19" t="inlineStr">
        <is>
          <t>5. Example: set US-001 to 'In progress' when you start installing tools, and to 'Done' when a clean checkout builds and debugs.</t>
        </is>
      </c>
    </row>
    <row r="10"/>
    <row r="11" ht="15.75" customHeight="1" s="20">
      <c r="A11" s="5" t="inlineStr">
        <is>
          <t>Story sizes (used by formulas)</t>
        </is>
      </c>
    </row>
    <row r="12" ht="25.5" customHeight="1" s="20">
      <c r="A12" s="6" t="inlineStr">
        <is>
          <t>Size</t>
        </is>
      </c>
      <c r="B12" s="6" t="inlineStr">
        <is>
          <t>Weeks (low)</t>
        </is>
      </c>
      <c r="C12" s="6" t="inlineStr">
        <is>
          <t>Weeks (high)</t>
        </is>
      </c>
      <c r="D12" s="6" t="inlineStr">
        <is>
          <t>Meaning (part-time, beginner pace, learning included)</t>
        </is>
      </c>
    </row>
    <row r="13">
      <c r="A13" s="7" t="inlineStr">
        <is>
          <t>S</t>
        </is>
      </c>
      <c r="B13" s="8" t="n">
        <v>0.5</v>
      </c>
      <c r="C13" s="8" t="n">
        <v>1</v>
      </c>
      <c r="D13" s="9" t="inlineStr">
        <is>
          <t>Up to about a week</t>
        </is>
      </c>
    </row>
    <row r="14">
      <c r="A14" s="7" t="inlineStr">
        <is>
          <t>M</t>
        </is>
      </c>
      <c r="B14" s="8" t="n">
        <v>1</v>
      </c>
      <c r="C14" s="8" t="n">
        <v>2</v>
      </c>
      <c r="D14" s="9" t="inlineStr">
        <is>
          <t>One to two weeks</t>
        </is>
      </c>
    </row>
    <row r="15">
      <c r="A15" s="7" t="inlineStr">
        <is>
          <t>L</t>
        </is>
      </c>
      <c r="B15" s="8" t="n">
        <v>2</v>
      </c>
      <c r="C15" s="8" t="n">
        <v>4</v>
      </c>
      <c r="D15" s="9" t="inlineStr">
        <is>
          <t>Two to four weeks; split if it grows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6" customWidth="1" style="20" min="1" max="1"/>
    <col width="16" customWidth="1" style="20" min="2" max="2"/>
    <col width="80" customWidth="1" style="20" min="3" max="3"/>
    <col width="24" customWidth="1" style="20" min="4" max="4"/>
    <col width="30" customWidth="1" style="20" min="5" max="5"/>
  </cols>
  <sheetData>
    <row r="1" ht="20.25" customHeight="1" s="20">
      <c r="A1" s="1" t="inlineStr">
        <is>
          <t>MVP definition</t>
        </is>
      </c>
    </row>
    <row r="2">
      <c r="A2" s="2" t="inlineStr">
        <is>
          <t>Product Owner + Solution Architect, 2026-09-29. Status 'Proposed' = awaiting your decision.</t>
        </is>
      </c>
    </row>
    <row r="3"/>
    <row r="4" ht="15.75" customHeight="1" s="20">
      <c r="A4" s="5" t="inlineStr">
        <is>
          <t>Hypothesis</t>
        </is>
      </c>
    </row>
    <row r="5" ht="75" customHeight="1" s="20">
      <c r="A5" s="19" t="inlineStr">
        <is>
          <t>We believe that living one Neanderthal's life on a procedurally generated region, from the Growing Period to leading a clan, will produce emergent stories that make players want to keep playing. We will know when at least 5 of 8 outside playtesters play 30+ minutes unprompted and at least 3 can retell a story that emerged from the simulation. At the same time, the MVP proves the architecture: 60 FPS, deterministic, headless-testable, on Windows x64.</t>
        </is>
      </c>
    </row>
    <row r="6"/>
    <row r="7" ht="15.75" customHeight="1" s="20">
      <c r="A7" s="5" t="inlineStr">
        <is>
          <t>Scope (in)</t>
        </is>
      </c>
    </row>
    <row r="8">
      <c r="A8" s="6" t="inlineStr">
        <is>
          <t>ID</t>
        </is>
      </c>
      <c r="B8" s="6" t="inlineStr">
        <is>
          <t>Area</t>
        </is>
      </c>
      <c r="C8" s="6" t="inlineStr">
        <is>
          <t>MVP scope</t>
        </is>
      </c>
      <c r="D8" s="6" t="inlineStr">
        <is>
          <t>Status</t>
        </is>
      </c>
      <c r="E8" s="6" t="inlineStr">
        <is>
          <t>Traces to</t>
        </is>
      </c>
    </row>
    <row r="9">
      <c r="A9" s="7" t="inlineStr">
        <is>
          <t>MVP-01</t>
        </is>
      </c>
      <c r="B9" s="9" t="inlineStr">
        <is>
          <t>Platform</t>
        </is>
      </c>
      <c r="C9" s="9" t="inlineStr">
        <is>
          <t>Windows x64 only. Android and iOS are out of the MVP (architecture keeps them possible).</t>
        </is>
      </c>
      <c r="D9" s="9" t="inlineStr">
        <is>
          <t>Proposed</t>
        </is>
      </c>
      <c r="E9" s="9" t="inlineStr">
        <is>
          <t>PLT-01, PLT-02</t>
        </is>
      </c>
    </row>
    <row r="10">
      <c r="A10" s="7" t="inlineStr">
        <is>
          <t>MVP-02</t>
        </is>
      </c>
      <c r="B10" s="9" t="inlineStr">
        <is>
          <t>Age</t>
        </is>
      </c>
      <c r="C10" s="9" t="inlineStr">
        <is>
          <t>Age 1 only: Late Paleolithic, Age of Embers (c. 40,000 BCE).</t>
        </is>
      </c>
      <c r="D10" s="9" t="inlineStr">
        <is>
          <t>Proposed</t>
        </is>
      </c>
      <c r="E10" s="9" t="inlineStr">
        <is>
          <t>ENV-01, ENV-09</t>
        </is>
      </c>
    </row>
    <row r="11" ht="25.5" customHeight="1" s="20">
      <c r="A11" s="7" t="inlineStr">
        <is>
          <t>MVP-03</t>
        </is>
      </c>
      <c r="B11" s="9" t="inlineStr">
        <is>
          <t>World</t>
        </is>
      </c>
      <c r="C11" s="9" t="inlineStr">
        <is>
          <t>One procedurally generated region (256 x 256 tiles, 64 x 64-tile chunks), not a whole planet. Bounded edges; planet projection deferred.</t>
        </is>
      </c>
      <c r="D11" s="9" t="inlineStr">
        <is>
          <t>Proposed</t>
        </is>
      </c>
      <c r="E11" s="9" t="inlineStr">
        <is>
          <t>ENV-03, ARC-06, OPEN-02</t>
        </is>
      </c>
    </row>
    <row r="12">
      <c r="A12" s="7" t="inlineStr">
        <is>
          <t>MVP-04</t>
        </is>
      </c>
      <c r="B12" s="9" t="inlineStr">
        <is>
          <t>Game Mode</t>
        </is>
      </c>
      <c r="C12" s="9" t="inlineStr">
        <is>
          <t>One Hero per Age only (smallest scope, recommended first mode).</t>
        </is>
      </c>
      <c r="D12" s="9" t="inlineStr">
        <is>
          <t>Proposed</t>
        </is>
      </c>
      <c r="E12" s="9" t="inlineStr">
        <is>
          <t>CHR-02</t>
        </is>
      </c>
    </row>
    <row r="13" ht="25.5" customHeight="1" s="20">
      <c r="A13" s="7" t="inlineStr">
        <is>
          <t>MVP-05</t>
        </is>
      </c>
      <c r="B13" s="9" t="inlineStr">
        <is>
          <t>Modifiers</t>
        </is>
      </c>
      <c r="C13" s="9" t="inlineStr">
        <is>
          <t>Only the baseline modifier Random per World, plus Growing Period presets (Off / Compressed / Full) and the Comfort dial (Cozy / Balanced / Harsh).</t>
        </is>
      </c>
      <c r="D13" s="9" t="inlineStr">
        <is>
          <t>Proposed</t>
        </is>
      </c>
      <c r="E13" s="9" t="inlineStr">
        <is>
          <t>CHR-03, CHR-06, ENV-07</t>
        </is>
      </c>
    </row>
    <row r="14" ht="25.5" customHeight="1" s="20">
      <c r="A14" s="7" t="inlineStr">
        <is>
          <t>MVP-06</t>
        </is>
      </c>
      <c r="B14" s="9" t="inlineStr">
        <is>
          <t>Character</t>
        </is>
      </c>
      <c r="C14" s="9" t="inlineStr">
        <is>
          <t>Full Growing Period (ages 12-26) with Focus slots, Crossroads events, imprint curve and the Mantle moment; aging and death.</t>
        </is>
      </c>
      <c r="D14" s="9" t="inlineStr">
        <is>
          <t>Proposed</t>
        </is>
      </c>
      <c r="E14" s="9" t="inlineStr">
        <is>
          <t>CHR-05, CHR-06</t>
        </is>
      </c>
    </row>
    <row r="15" ht="25.5" customHeight="1" s="20">
      <c r="A15" s="7" t="inlineStr">
        <is>
          <t>MVP-07</t>
        </is>
      </c>
      <c r="B15" s="9" t="inlineStr">
        <is>
          <t>Professions</t>
        </is>
      </c>
      <c r="C15" s="9" t="inlineStr">
        <is>
          <t>Five Age 1 professions, data-driven: Hunter, Gatherer, Flint-knapper, Fire-keeper, Shaman-healer.</t>
        </is>
      </c>
      <c r="D15" s="9" t="inlineStr">
        <is>
          <t>Proposed</t>
        </is>
      </c>
      <c r="E15" s="9" t="inlineStr">
        <is>
          <t>CHR-07, Flag 5</t>
        </is>
      </c>
    </row>
    <row r="16" ht="25.5" customHeight="1" s="20">
      <c r="A16" s="7" t="inlineStr">
        <is>
          <t>MVP-08</t>
        </is>
      </c>
      <c r="B16" s="9" t="inlineStr">
        <is>
          <t>Pillars</t>
        </is>
      </c>
      <c r="C16" s="9" t="inlineStr">
        <is>
          <t>Two pillars playable at region scale: Trade (barter and debts) and Religion (sacred fire and followers). The other four are shown as locked 'later Ages'.</t>
        </is>
      </c>
      <c r="D16" s="9" t="inlineStr">
        <is>
          <t>Proposed</t>
        </is>
      </c>
      <c r="E16" s="9" t="inlineStr">
        <is>
          <t>PIL-02, PIL-04, ENV-10</t>
        </is>
      </c>
    </row>
    <row r="17" ht="25.5" customHeight="1" s="20">
      <c r="A17" s="7" t="inlineStr">
        <is>
          <t>MVP-09</t>
        </is>
      </c>
      <c r="B17" s="9" t="inlineStr">
        <is>
          <t>Victory</t>
        </is>
      </c>
      <c r="C17" s="9" t="inlineStr">
        <is>
          <t>Win: your clan leads the region (Dominion 60% in Trade or Religion, or 50% combined). Lose: your hero dies before the Mantle moment, or your clan disbands.</t>
        </is>
      </c>
      <c r="D17" s="9" t="inlineStr">
        <is>
          <t>Proposed</t>
        </is>
      </c>
      <c r="E17" s="9" t="inlineStr">
        <is>
          <t>ENV-05, ENV-10</t>
        </is>
      </c>
    </row>
    <row r="18">
      <c r="A18" s="7" t="inlineStr">
        <is>
          <t>MVP-10</t>
        </is>
      </c>
      <c r="B18" s="9" t="inlineStr">
        <is>
          <t>Simulation</t>
        </is>
      </c>
      <c r="C18" s="9" t="inlineStr">
        <is>
          <t>One player clan (about 20 people) and two rival AI clans; LOD tiers Active and Nearby only.</t>
        </is>
      </c>
      <c r="D18" s="9" t="inlineStr">
        <is>
          <t>Proposed</t>
        </is>
      </c>
      <c r="E18" s="9" t="inlineStr">
        <is>
          <t>ARC-05, ADR-013</t>
        </is>
      </c>
    </row>
    <row r="19" ht="25.5" customHeight="1" s="20">
      <c r="A19" s="7" t="inlineStr">
        <is>
          <t>MVP-11</t>
        </is>
      </c>
      <c r="B19" s="9" t="inlineStr">
        <is>
          <t>Presentation</t>
        </is>
      </c>
      <c r="C19" s="9" t="inlineStr">
        <is>
          <t>Layered 32 x 48 sprites with 3 outfits per body; programmer or placeholder art allowed; minimal sound effects.</t>
        </is>
      </c>
      <c r="D19" s="9" t="inlineStr">
        <is>
          <t>Proposed</t>
        </is>
      </c>
      <c r="E19" s="9" t="inlineStr">
        <is>
          <t>ENV-11, ENV-12, OPEN-11, OPEN-12</t>
        </is>
      </c>
    </row>
    <row r="20" ht="25.5" customHeight="1" s="20">
      <c r="A20" s="7" t="inlineStr">
        <is>
          <t>MVP-12</t>
        </is>
      </c>
      <c r="B20" s="9" t="inlineStr">
        <is>
          <t>Time model</t>
        </is>
      </c>
      <c r="C20" s="9" t="inlineStr">
        <is>
          <t>Pausable real time with speed control (pause, 1x, 2x, 4x). Decided by the owner (D-01, 2026-09-30).</t>
        </is>
      </c>
      <c r="D20" s="9" t="inlineStr">
        <is>
          <t>Decided</t>
        </is>
      </c>
      <c r="E20" s="9" t="inlineStr">
        <is>
          <t>ADR-006, OPEN-04</t>
        </is>
      </c>
    </row>
    <row r="21" ht="38.25" customHeight="1" s="20">
      <c r="A21" s="7" t="inlineStr">
        <is>
          <t>MVP-13</t>
        </is>
      </c>
      <c r="B21" s="9" t="inlineStr">
        <is>
          <t>Physics</t>
        </is>
      </c>
      <c r="C21" s="9" t="inlineStr">
        <is>
          <t>Luna Physics core: deterministic 3D fixed-point math, hit detection, ballistics, basic rigid bodies and material properties, proven by a spear throw in the demo (M1b). Advanced physics and chemistry return with later Ages.</t>
        </is>
      </c>
      <c r="D21" s="9" t="inlineStr">
        <is>
          <t>Decided</t>
        </is>
      </c>
      <c r="E21" s="9" t="inlineStr">
        <is>
          <t>PHY-01..PHY-06, ARC-10, ADR-017</t>
        </is>
      </c>
    </row>
    <row r="22" ht="38.25" customHeight="1" s="20">
      <c r="A22" s="7" t="inlineStr">
        <is>
          <t>MVP-14</t>
        </is>
      </c>
      <c r="B22" s="9" t="inlineStr">
        <is>
          <t>Interactions</t>
        </is>
      </c>
      <c r="C22" s="9" t="inlineStr">
        <is>
          <t>Data-driven world interactions shared by the player, NPCs and animals; talking to NPCs (written + generated); interactions and dialogue editable offline (JSON, .dlg) and in the Editor's graph view. Built before kill gate 2 (D-34, 2026-10-01).</t>
        </is>
      </c>
      <c r="D22" s="9" t="inlineStr">
        <is>
          <t>Decided</t>
        </is>
      </c>
      <c r="E22" s="9" t="inlineStr">
        <is>
          <t>INT-01..INT-06, SDC-03..SDC-06, ADR-019</t>
        </is>
      </c>
    </row>
    <row r="23" ht="15.75" customHeight="1" s="20"/>
    <row r="24">
      <c r="A24" s="5" t="inlineStr">
        <is>
          <t>Success and kill criteria (decided before building)</t>
        </is>
      </c>
    </row>
    <row r="25" ht="51" customHeight="1" s="20">
      <c r="A25" s="6" t="inlineStr">
        <is>
          <t>Metric</t>
        </is>
      </c>
      <c r="B25" s="6" t="inlineStr">
        <is>
          <t>Target</t>
        </is>
      </c>
      <c r="C25" s="6" t="inlineStr">
        <is>
          <t>How measured</t>
        </is>
      </c>
      <c r="D25" s="6" t="inlineStr">
        <is>
          <t>Gate</t>
        </is>
      </c>
    </row>
    <row r="26" ht="63.75" customHeight="1" s="20">
      <c r="A26" s="7" t="inlineStr">
        <is>
          <t>Voluntary play time</t>
        </is>
      </c>
      <c r="B26" s="9" t="inlineStr">
        <is>
          <t>5 of 8 playtesters play 30+ minutes without being asked to continue</t>
        </is>
      </c>
      <c r="C26" s="9" t="inlineStr">
        <is>
          <t>Observation + local session log (US-092)</t>
        </is>
      </c>
      <c r="D26" s="9" t="inlineStr">
        <is>
          <t>M6</t>
        </is>
      </c>
    </row>
    <row r="27" ht="38.25" customHeight="1" s="20">
      <c r="A27" s="7" t="inlineStr">
        <is>
          <t>Emergent story</t>
        </is>
      </c>
      <c r="B27" s="9" t="inlineStr">
        <is>
          <t>3 of 8 can retell a story that came from the simulation, not from a script</t>
        </is>
      </c>
      <c r="C27" s="9" t="inlineStr">
        <is>
          <t>Post-play interview</t>
        </is>
      </c>
      <c r="D27" s="9" t="inlineStr">
        <is>
          <t>M6</t>
        </is>
      </c>
    </row>
    <row r="28" ht="63.75" customHeight="1" s="20">
      <c r="A28" s="7" t="inlineStr">
        <is>
          <t>Chronicle interest (early)</t>
        </is>
      </c>
      <c r="B28" s="9" t="inlineStr">
        <is>
          <t>2 of 3 readers find a story in the console chronicle</t>
        </is>
      </c>
      <c r="C28" s="9" t="inlineStr">
        <is>
          <t>Show printed chronicle (M2: 3 readers, failed 2026-09-30; M2b retry: the owner reads and judges)</t>
        </is>
      </c>
      <c r="D28" s="9" t="inlineStr">
        <is>
          <t>M2, retried at M2b</t>
        </is>
      </c>
    </row>
    <row r="29" ht="51" customHeight="1" s="20">
      <c r="A29" s="7" t="inlineStr">
        <is>
          <t>Frame rate</t>
        </is>
      </c>
      <c r="B29" s="9" t="inlineStr">
        <is>
          <t>60 FPS with 500 simulated agents in the region on the minimum PC (OPEN-19)</t>
        </is>
      </c>
      <c r="C29" s="9" t="inlineStr">
        <is>
          <t>FPS overlay (US-082)</t>
        </is>
      </c>
      <c r="D29" s="9" t="inlineStr">
        <is>
          <t>M5</t>
        </is>
      </c>
    </row>
    <row r="30" ht="51" customHeight="1" s="20">
      <c r="A30" s="7" t="inlineStr">
        <is>
          <t>Determinism</t>
        </is>
      </c>
      <c r="B30" s="9" t="inlineStr">
        <is>
          <t>Same seed + inputs give the same world hash after 10,000 ticks</t>
        </is>
      </c>
      <c r="C30" s="9" t="inlineStr">
        <is>
          <t>Automated test in CI</t>
        </is>
      </c>
      <c r="D30" s="9" t="inlineStr">
        <is>
          <t>M2 onwards</t>
        </is>
      </c>
    </row>
    <row r="31" ht="63.75" customHeight="1" s="20">
      <c r="A31" s="7" t="inlineStr">
        <is>
          <t>Stability</t>
        </is>
      </c>
      <c r="B31" s="9" t="inlineStr">
        <is>
          <t>No crash in a 2-hour play session or a 100-year soak test</t>
        </is>
      </c>
      <c r="C31" s="9" t="inlineStr">
        <is>
          <t>Soak test + crash log</t>
        </is>
      </c>
      <c r="D31" s="9" t="inlineStr">
        <is>
          <t>M5, M6</t>
        </is>
      </c>
    </row>
    <row r="32">
      <c r="A32" s="7" t="inlineStr">
        <is>
          <t>Kill / pivot rule</t>
        </is>
      </c>
      <c r="B32" s="9" t="inlineStr">
        <is>
          <t>If M2 or M6 fails: stop adding content; redesign the simulation or the loop first</t>
        </is>
      </c>
      <c r="C32" s="9" t="inlineStr">
        <is>
          <t>Owner decision, recorded</t>
        </is>
      </c>
      <c r="D32" s="9" t="inlineStr">
        <is>
          <t>M2, M6</t>
        </is>
      </c>
    </row>
  </sheetData>
  <mergeCells count="1">
    <mergeCell ref="A5:E5"/>
  </mergeCells>
  <conditionalFormatting sqref="D9:D20">
    <cfRule type="cellIs" priority="1" operator="equal" dxfId="4">
      <formula>"Proposed"</formula>
    </cfRule>
    <cfRule type="cellIs" priority="2" operator="equal" dxfId="2">
      <formula>"Decided"</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Y26"/>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6" customWidth="1" style="20" min="1" max="1"/>
    <col width="30" customWidth="1" style="20" min="2" max="2"/>
    <col width="9" customWidth="1" style="20" min="3" max="3"/>
    <col width="11" customWidth="1" style="20" min="4" max="5"/>
    <col width="9" customWidth="1" style="20" min="6" max="6"/>
    <col width="8" customWidth="1" style="20" min="7" max="7"/>
    <col width="9" customWidth="1" style="20" min="8" max="8"/>
    <col width="12" customWidth="1" style="20" min="9" max="12"/>
    <col width="13" customWidth="1" style="20" min="13" max="13"/>
    <col width="60" customWidth="1" style="20" min="14" max="14"/>
    <col width="3" customWidth="1" style="20" min="16" max="95"/>
    <col width="13" customWidth="1" style="20" min="95" max="95"/>
    <col width="13" customWidth="1" style="20" min="96" max="96"/>
    <col width="13" customWidth="1" style="20" min="97" max="97"/>
    <col width="13" customWidth="1" style="20" min="98" max="98"/>
    <col width="13" customWidth="1" style="20" min="99" max="99"/>
    <col width="13" customWidth="1" style="20" min="100" max="100"/>
    <col width="13" customWidth="1" style="20" min="101" max="101"/>
    <col width="13" customWidth="1" style="20" min="102" max="102"/>
    <col width="13" customWidth="1" style="20" min="103" max="103"/>
    <col width="13" customWidth="1" style="20" min="104" max="104"/>
    <col width="13" customWidth="1" style="20" min="105" max="105"/>
    <col width="13" customWidth="1" style="20" min="106" max="106"/>
    <col width="13" customWidth="1" style="20" min="107" max="107"/>
    <col width="13" customWidth="1" style="20" min="108" max="108"/>
    <col width="13" customWidth="1" style="20" min="109" max="109"/>
    <col width="13" customWidth="1" style="20" min="110" max="110"/>
    <col width="13" customWidth="1" style="20" min="111" max="111"/>
    <col width="13" customWidth="1" style="20" min="112" max="112"/>
    <col width="13" customWidth="1" style="20" min="113" max="113"/>
    <col width="13" customWidth="1" style="20" min="114" max="114"/>
    <col width="13" customWidth="1" style="20" min="115" max="115"/>
    <col width="13" customWidth="1" style="20" min="116" max="116"/>
    <col width="13" customWidth="1" style="20" min="117" max="117"/>
    <col width="13" customWidth="1" style="20" min="118" max="118"/>
    <col width="13" customWidth="1" style="20" min="119" max="119"/>
    <col width="13" customWidth="1" style="20" min="120" max="120"/>
    <col width="13" customWidth="1" style="20" min="121" max="121"/>
    <col width="13" customWidth="1" style="20" min="122" max="122"/>
    <col width="13" customWidth="1" style="20" min="123" max="123"/>
    <col width="13" customWidth="1" style="20" min="124" max="124"/>
    <col width="13" customWidth="1" style="20" min="125" max="125"/>
    <col width="13" customWidth="1" style="20" min="126" max="126"/>
    <col width="13" customWidth="1" style="20" min="127" max="127"/>
    <col width="13" customWidth="1" style="20" min="128" max="128"/>
    <col width="13" customWidth="1" style="20" min="129" max="129"/>
    <col width="13" customWidth="1" style="20" min="130" max="130"/>
    <col width="13" customWidth="1" style="20" min="131" max="131"/>
    <col width="13" customWidth="1" style="20" min="132" max="132"/>
    <col width="13" customWidth="1" style="20" min="133" max="133"/>
    <col width="13" customWidth="1" style="20" min="134" max="134"/>
    <col width="13" customWidth="1" style="20" min="135" max="135"/>
    <col width="13" customWidth="1" style="20" min="136" max="136"/>
    <col width="13" customWidth="1" style="20" min="137" max="137"/>
    <col width="13" customWidth="1" style="20" min="138" max="138"/>
    <col width="13" customWidth="1" style="20" min="139" max="139"/>
    <col width="13" customWidth="1" style="20" min="140" max="140"/>
    <col width="13" customWidth="1" style="20" min="141" max="141"/>
    <col width="13" customWidth="1" style="20" min="142" max="142"/>
    <col width="13" customWidth="1" style="20" min="143" max="143"/>
    <col width="13" customWidth="1" style="20" min="144" max="144"/>
    <col width="13" customWidth="1" style="20" min="145" max="145"/>
    <col width="13" customWidth="1" style="20" min="146" max="146"/>
    <col width="13" customWidth="1" style="20" min="147" max="147"/>
    <col width="13" customWidth="1" style="20" min="148" max="148"/>
    <col width="13" customWidth="1" style="20" min="149" max="149"/>
    <col width="13" customWidth="1" style="20" min="150" max="150"/>
    <col width="13" customWidth="1" style="20" min="151" max="151"/>
    <col width="13" customWidth="1" style="20" min="152" max="152"/>
    <col width="13" customWidth="1" style="20" min="153" max="153"/>
    <col width="13" customWidth="1" style="20" min="154" max="154"/>
    <col width="13" customWidth="1" style="20" min="155" max="155"/>
  </cols>
  <sheetData>
    <row r="1" ht="20.25" customHeight="1" s="20">
      <c r="A1" s="1" t="inlineStr">
        <is>
          <t>Timeline: milestones and Gantt (likely plan)</t>
        </is>
      </c>
    </row>
    <row r="2">
      <c r="A2" s="2" t="inlineStr">
        <is>
          <t>Estimates are bottom-up from story sizes, part-time, beginner pace. Yellow cells are editable. Bars show the likely plan.</t>
        </is>
      </c>
    </row>
    <row r="3"/>
    <row r="4">
      <c r="A4" s="10" t="inlineStr">
        <is>
          <t>Project start (Monday)</t>
        </is>
      </c>
      <c r="B4" s="11" t="n">
        <v>46300</v>
      </c>
    </row>
    <row r="5"/>
    <row r="6" ht="38.25" customHeight="1" s="20">
      <c r="A6" s="6" t="inlineStr">
        <is>
          <t>ID</t>
        </is>
      </c>
      <c r="B6" s="6" t="inlineStr">
        <is>
          <t>Milestone</t>
        </is>
      </c>
      <c r="C6" s="6" t="inlineStr">
        <is>
          <t>Learning stages</t>
        </is>
      </c>
      <c r="D6" s="6" t="inlineStr">
        <is>
          <t>Weeks optimistic</t>
        </is>
      </c>
      <c r="E6" s="6" t="inlineStr">
        <is>
          <t>Weeks pessimistic</t>
        </is>
      </c>
      <c r="F6" s="6" t="inlineStr">
        <is>
          <t>Weeks likely</t>
        </is>
      </c>
      <c r="G6" s="6" t="inlineStr">
        <is>
          <t>Start week</t>
        </is>
      </c>
      <c r="H6" s="6" t="inlineStr">
        <is>
          <t>End week (likely)</t>
        </is>
      </c>
      <c r="I6" s="6" t="inlineStr">
        <is>
          <t>Start date</t>
        </is>
      </c>
      <c r="J6" s="6" t="inlineStr">
        <is>
          <t>End date (likely)</t>
        </is>
      </c>
      <c r="K6" s="6" t="inlineStr">
        <is>
          <t>End date (optimistic)</t>
        </is>
      </c>
      <c r="L6" s="6" t="inlineStr">
        <is>
          <t>End date (pessimistic)</t>
        </is>
      </c>
      <c r="M6" s="6" t="inlineStr">
        <is>
          <t>Must story weeks (low-high)</t>
        </is>
      </c>
      <c r="N6" s="6" t="inlineStr">
        <is>
          <t>Exit criteria (demonstrable)</t>
        </is>
      </c>
      <c r="P6" s="12" t="n">
        <v>1</v>
      </c>
      <c r="Q6" s="12" t="n">
        <v>2</v>
      </c>
      <c r="R6" s="12" t="n">
        <v>3</v>
      </c>
      <c r="S6" s="12" t="n">
        <v>4</v>
      </c>
      <c r="T6" s="12" t="n">
        <v>5</v>
      </c>
      <c r="U6" s="12" t="n">
        <v>6</v>
      </c>
      <c r="V6" s="12" t="n">
        <v>7</v>
      </c>
      <c r="W6" s="12" t="n">
        <v>8</v>
      </c>
      <c r="X6" s="12" t="n">
        <v>9</v>
      </c>
      <c r="Y6" s="12" t="n">
        <v>10</v>
      </c>
      <c r="Z6" s="12" t="n">
        <v>11</v>
      </c>
      <c r="AA6" s="12" t="n">
        <v>12</v>
      </c>
      <c r="AB6" s="12" t="n">
        <v>13</v>
      </c>
      <c r="AC6" s="12" t="n">
        <v>14</v>
      </c>
      <c r="AD6" s="12" t="n">
        <v>15</v>
      </c>
      <c r="AE6" s="12" t="n">
        <v>16</v>
      </c>
      <c r="AF6" s="12" t="n">
        <v>17</v>
      </c>
      <c r="AG6" s="12" t="n">
        <v>18</v>
      </c>
      <c r="AH6" s="12" t="n">
        <v>19</v>
      </c>
      <c r="AI6" s="12" t="n">
        <v>20</v>
      </c>
      <c r="AJ6" s="12" t="n">
        <v>21</v>
      </c>
      <c r="AK6" s="12" t="n">
        <v>22</v>
      </c>
      <c r="AL6" s="12" t="n">
        <v>23</v>
      </c>
      <c r="AM6" s="12" t="n">
        <v>24</v>
      </c>
      <c r="AN6" s="12" t="n">
        <v>25</v>
      </c>
      <c r="AO6" s="12" t="n">
        <v>26</v>
      </c>
      <c r="AP6" s="12" t="n">
        <v>27</v>
      </c>
      <c r="AQ6" s="12" t="n">
        <v>28</v>
      </c>
      <c r="AR6" s="12" t="n">
        <v>29</v>
      </c>
      <c r="AS6" s="12" t="n">
        <v>30</v>
      </c>
      <c r="AT6" s="12" t="n">
        <v>31</v>
      </c>
      <c r="AU6" s="12" t="n">
        <v>32</v>
      </c>
      <c r="AV6" s="12" t="n">
        <v>33</v>
      </c>
      <c r="AW6" s="12" t="n">
        <v>34</v>
      </c>
      <c r="AX6" s="12" t="n">
        <v>35</v>
      </c>
      <c r="AY6" s="12" t="n">
        <v>36</v>
      </c>
      <c r="AZ6" s="12" t="n">
        <v>37</v>
      </c>
      <c r="BA6" s="12" t="n">
        <v>38</v>
      </c>
      <c r="BB6" s="12" t="n">
        <v>39</v>
      </c>
      <c r="BC6" s="12" t="n">
        <v>40</v>
      </c>
      <c r="BD6" s="12" t="n">
        <v>41</v>
      </c>
      <c r="BE6" s="12" t="n">
        <v>42</v>
      </c>
      <c r="BF6" s="12" t="n">
        <v>43</v>
      </c>
      <c r="BG6" s="12" t="n">
        <v>44</v>
      </c>
      <c r="BH6" s="12" t="n">
        <v>45</v>
      </c>
      <c r="BI6" s="12" t="n">
        <v>46</v>
      </c>
      <c r="BJ6" s="12" t="n">
        <v>47</v>
      </c>
      <c r="BK6" s="12" t="n">
        <v>48</v>
      </c>
      <c r="BL6" s="12" t="n">
        <v>49</v>
      </c>
      <c r="BM6" s="12" t="n">
        <v>50</v>
      </c>
      <c r="BN6" s="12" t="n">
        <v>51</v>
      </c>
      <c r="BO6" s="12" t="n">
        <v>52</v>
      </c>
      <c r="BP6" s="12" t="n">
        <v>53</v>
      </c>
      <c r="BQ6" s="12" t="n">
        <v>54</v>
      </c>
      <c r="BR6" s="12" t="n">
        <v>55</v>
      </c>
      <c r="BS6" s="12" t="n">
        <v>56</v>
      </c>
      <c r="BT6" s="12" t="n">
        <v>57</v>
      </c>
      <c r="BU6" s="12" t="n">
        <v>58</v>
      </c>
      <c r="BV6" s="12" t="n">
        <v>59</v>
      </c>
      <c r="BW6" s="12" t="n">
        <v>60</v>
      </c>
      <c r="BX6" s="12" t="n">
        <v>61</v>
      </c>
      <c r="BY6" s="12" t="n">
        <v>62</v>
      </c>
      <c r="BZ6" s="12" t="n">
        <v>63</v>
      </c>
      <c r="CA6" s="12" t="n">
        <v>64</v>
      </c>
      <c r="CB6" s="12" t="n">
        <v>65</v>
      </c>
      <c r="CC6" s="12" t="n">
        <v>66</v>
      </c>
      <c r="CD6" s="12" t="n">
        <v>67</v>
      </c>
      <c r="CE6" s="12" t="n">
        <v>68</v>
      </c>
      <c r="CF6" s="12" t="n">
        <v>69</v>
      </c>
      <c r="CG6" s="12" t="n">
        <v>70</v>
      </c>
      <c r="CH6" s="12" t="n">
        <v>71</v>
      </c>
      <c r="CI6" s="12" t="n">
        <v>72</v>
      </c>
      <c r="CJ6" s="12" t="n">
        <v>73</v>
      </c>
      <c r="CK6" s="12" t="n">
        <v>74</v>
      </c>
      <c r="CL6" s="12" t="n">
        <v>75</v>
      </c>
      <c r="CM6" s="12" t="n">
        <v>76</v>
      </c>
      <c r="CN6" s="12" t="n">
        <v>77</v>
      </c>
      <c r="CO6" s="12" t="n">
        <v>78</v>
      </c>
      <c r="CP6" s="12" t="n">
        <v>79</v>
      </c>
      <c r="CQ6" s="12" t="n">
        <v>80</v>
      </c>
      <c r="CR6" s="12" t="n">
        <v>81</v>
      </c>
      <c r="CS6" s="12" t="n">
        <v>82</v>
      </c>
      <c r="CT6" s="12" t="n">
        <v>83</v>
      </c>
      <c r="CU6" s="12" t="n">
        <v>84</v>
      </c>
      <c r="CV6" s="12" t="n">
        <v>85</v>
      </c>
      <c r="CW6" s="12" t="n">
        <v>86</v>
      </c>
      <c r="CX6" s="12" t="n">
        <v>87</v>
      </c>
      <c r="CY6" s="12" t="n">
        <v>88</v>
      </c>
      <c r="CZ6" s="12" t="n">
        <v>89</v>
      </c>
      <c r="DA6" s="12" t="n">
        <v>90</v>
      </c>
      <c r="DB6" s="12" t="n">
        <v>91</v>
      </c>
      <c r="DC6" s="12" t="n">
        <v>92</v>
      </c>
      <c r="DD6" s="12" t="n">
        <v>93</v>
      </c>
      <c r="DE6" s="12" t="n">
        <v>94</v>
      </c>
      <c r="DF6" s="12" t="n">
        <v>95</v>
      </c>
      <c r="DG6" s="12" t="n">
        <v>96</v>
      </c>
      <c r="DH6" s="12" t="n">
        <v>97</v>
      </c>
      <c r="DI6" s="12" t="n">
        <v>98</v>
      </c>
      <c r="DJ6" s="12" t="n">
        <v>99</v>
      </c>
      <c r="DK6" s="12" t="n">
        <v>100</v>
      </c>
      <c r="DL6" s="12" t="n">
        <v>101</v>
      </c>
      <c r="DM6" s="12" t="n">
        <v>102</v>
      </c>
      <c r="DN6" s="12" t="n">
        <v>103</v>
      </c>
      <c r="DO6" s="12" t="n">
        <v>104</v>
      </c>
      <c r="DP6" s="12" t="n">
        <v>105</v>
      </c>
      <c r="DQ6" s="12" t="n">
        <v>106</v>
      </c>
      <c r="DR6" s="12" t="n">
        <v>107</v>
      </c>
      <c r="DS6" s="12" t="n">
        <v>108</v>
      </c>
      <c r="DT6" s="12" t="n">
        <v>109</v>
      </c>
      <c r="DU6" s="12" t="n">
        <v>110</v>
      </c>
      <c r="DV6" s="12" t="n">
        <v>111</v>
      </c>
      <c r="DW6" s="12" t="n">
        <v>112</v>
      </c>
      <c r="DX6" s="12" t="n">
        <v>113</v>
      </c>
      <c r="DY6" s="12" t="n">
        <v>114</v>
      </c>
      <c r="DZ6" s="12" t="n">
        <v>115</v>
      </c>
      <c r="EA6" s="12" t="n">
        <v>116</v>
      </c>
      <c r="EB6" s="12" t="n">
        <v>117</v>
      </c>
      <c r="EC6" s="12" t="n">
        <v>118</v>
      </c>
      <c r="ED6" s="12" t="n">
        <v>119</v>
      </c>
      <c r="EE6" s="12" t="n">
        <v>120</v>
      </c>
      <c r="EF6" s="12" t="n">
        <v>121</v>
      </c>
      <c r="EG6" s="12" t="n">
        <v>122</v>
      </c>
      <c r="EH6" s="12" t="n">
        <v>123</v>
      </c>
      <c r="EI6" s="12" t="n">
        <v>124</v>
      </c>
      <c r="EJ6" s="12" t="n">
        <v>125</v>
      </c>
      <c r="EK6" s="12" t="n">
        <v>126</v>
      </c>
      <c r="EL6" s="12" t="n">
        <v>127</v>
      </c>
      <c r="EM6" s="12" t="n">
        <v>128</v>
      </c>
      <c r="EN6" s="12" t="n">
        <v>129</v>
      </c>
      <c r="EO6" s="12" t="n">
        <v>130</v>
      </c>
      <c r="EP6" s="12" t="n">
        <v>131</v>
      </c>
      <c r="EQ6" s="12" t="n">
        <v>132</v>
      </c>
      <c r="ER6" s="12" t="n">
        <v>133</v>
      </c>
      <c r="ES6" s="12" t="n">
        <v>134</v>
      </c>
      <c r="ET6" s="12" t="n">
        <v>135</v>
      </c>
      <c r="EU6" s="12" t="n">
        <v>136</v>
      </c>
      <c r="EV6" s="12" t="n">
        <v>137</v>
      </c>
      <c r="EW6" s="12" t="n">
        <v>138</v>
      </c>
      <c r="EX6" s="12" t="n">
        <v>139</v>
      </c>
      <c r="EY6" s="12" t="n">
        <v>140</v>
      </c>
    </row>
    <row r="7" ht="42" customHeight="1" s="20">
      <c r="A7" s="7" t="inlineStr">
        <is>
          <t>M0</t>
        </is>
      </c>
      <c r="B7" s="9" t="inlineStr">
        <is>
          <t>Tooling ready</t>
        </is>
      </c>
      <c r="C7" s="9" t="inlineStr">
        <is>
          <t>0</t>
        </is>
      </c>
      <c r="D7" s="13" t="n">
        <v>2</v>
      </c>
      <c r="E7" s="13" t="n">
        <v>4</v>
      </c>
      <c r="F7" s="9">
        <f>ROUND((D7+E7)/2,0)</f>
        <v/>
      </c>
      <c r="G7" s="9" t="inlineStr">
        <is>
          <t>1</t>
        </is>
      </c>
      <c r="H7" s="9">
        <f>G7+F7-1</f>
        <v/>
      </c>
      <c r="I7" s="14">
        <f>$B$4+(G7-1)*7</f>
        <v/>
      </c>
      <c r="J7" s="14">
        <f>$B$4+H7*7-1</f>
        <v/>
      </c>
      <c r="K7" s="14">
        <f>$B$4+SUM($D$7:D7)*7-1</f>
        <v/>
      </c>
      <c r="L7" s="14">
        <f>$B$4+SUM($E$7:E7)*7-1</f>
        <v/>
      </c>
      <c r="M7" s="9">
        <f>SUMIFS('User Stories'!$H$5:$H$200,'User Stories'!$J$5:$J$200,A7,'User Stories'!$F$5:$F$200,"Must")&amp;" - "&amp;SUMIFS('User Stories'!$I$5:$I$200,'User Stories'!$J$5:$J$200,A7,'User Stories'!$F$5:$F$200,"Must")</f>
        <v/>
      </c>
      <c r="N7" s="9" t="inlineStr">
        <is>
          <t>A clean checkout builds in Visual Studio; you pause the program on a breakpoint; CI runs on push.</t>
        </is>
      </c>
    </row>
    <row r="8" ht="42" customHeight="1" s="20">
      <c r="A8" s="7" t="inlineStr">
        <is>
          <t>M1</t>
        </is>
      </c>
      <c r="B8" s="9" t="inlineStr">
        <is>
          <t>Luna engine: walking skeleton</t>
        </is>
      </c>
      <c r="C8" s="9" t="inlineStr">
        <is>
          <t>3-4</t>
        </is>
      </c>
      <c r="D8" s="13" t="n">
        <v>5</v>
      </c>
      <c r="E8" s="13" t="n">
        <v>9</v>
      </c>
      <c r="F8" s="9">
        <f>ROUND((D8+E8)/2,0)</f>
        <v/>
      </c>
      <c r="G8" s="9">
        <f>H7+1</f>
        <v/>
      </c>
      <c r="H8" s="9">
        <f>G8+F8-1</f>
        <v/>
      </c>
      <c r="I8" s="14">
        <f>$B$4+(G8-1)*7</f>
        <v/>
      </c>
      <c r="J8" s="14">
        <f>$B$4+H8*7-1</f>
        <v/>
      </c>
      <c r="K8" s="14">
        <f>$B$4+SUM($D$7:D8)*7-1</f>
        <v/>
      </c>
      <c r="L8" s="14">
        <f>$B$4+SUM($E$7:E8)*7-1</f>
        <v/>
      </c>
      <c r="M8" s="9">
        <f>SUMIFS('User Stories'!$H$5:$H$200,'User Stories'!$J$5:$J$200,A8,'User Stories'!$F$5:$F$200,"Must")&amp;" - "&amp;SUMIFS('User Stories'!$I$5:$I$200,'User Stories'!$J$5:$J$200,A8,'User Stories'!$F$5:$F$200,"Must")</f>
        <v/>
      </c>
      <c r="N8" s="9" t="inlineStr">
        <is>
          <t>Luna opens a window; a demo character walks around a tile map at 60 FPS with crisp pixels at any window size; the build proves Luna contains no Odysseus code.</t>
        </is>
      </c>
    </row>
    <row r="9" ht="42" customHeight="1" s="20">
      <c r="A9" s="7" t="inlineStr">
        <is>
          <t>M1b</t>
        </is>
      </c>
      <c r="B9" s="9" t="inlineStr">
        <is>
          <t>Luna Physics (deterministic 3D)</t>
        </is>
      </c>
      <c r="C9" s="9" t="inlineStr">
        <is>
          <t>5</t>
        </is>
      </c>
      <c r="D9" s="13" t="n">
        <v>6</v>
      </c>
      <c r="E9" s="13" t="n">
        <v>12</v>
      </c>
      <c r="F9" s="9">
        <f>ROUND((D9+E9)/2,0)</f>
        <v/>
      </c>
      <c r="G9" s="9">
        <f>H8+1</f>
        <v/>
      </c>
      <c r="H9" s="9">
        <f>G9+F9-1</f>
        <v/>
      </c>
      <c r="I9" s="14">
        <f>$B$4+(G9-1)*7</f>
        <v/>
      </c>
      <c r="J9" s="14">
        <f>$B$4+H9*7-1</f>
        <v/>
      </c>
      <c r="K9" s="14">
        <f>$B$4+SUM($D$7:D9)*7-1</f>
        <v/>
      </c>
      <c r="L9" s="14">
        <f>$B$4+SUM($E$7:E9)*7-1</f>
        <v/>
      </c>
      <c r="M9" s="9">
        <f>SUMIFS('User Stories'!$H$5:$H$200,'User Stories'!$J$5:$J$200,A9,'User Stories'!$F$5:$F$200,"Must")&amp;" - "&amp;SUMIFS('User Stories'!$I$5:$I$200,'User Stories'!$J$5:$J$200,A9,'User Stories'!$F$5:$F$200,"Must")</f>
        <v/>
      </c>
      <c r="N9" s="9" t="inlineStr">
        <is>
          <t>Luna Physics passes its math, hit-detection, ballistics and rigid-body tests identically on every build; in the demo the hero throws a spear that flies in an arc with a shadow and hits a target.</t>
        </is>
      </c>
    </row>
    <row r="10" ht="42" customHeight="1" s="20">
      <c r="A10" s="7" t="inlineStr">
        <is>
          <t>M2</t>
        </is>
      </c>
      <c r="B10" s="9" t="inlineStr">
        <is>
          <t>Console clan simulator (KILL GATE 1)</t>
        </is>
      </c>
      <c r="C10" s="9" t="inlineStr">
        <is>
          <t>1-2</t>
        </is>
      </c>
      <c r="D10" s="13" t="n">
        <v>8</v>
      </c>
      <c r="E10" s="13" t="n">
        <v>15</v>
      </c>
      <c r="F10" s="9">
        <f>ROUND((D10+E10)/2,0)</f>
        <v/>
      </c>
      <c r="G10" s="9">
        <f>H9+1</f>
        <v/>
      </c>
      <c r="H10" s="9">
        <f>G10+F10-1</f>
        <v/>
      </c>
      <c r="I10" s="14">
        <f>$B$4+(G10-1)*7</f>
        <v/>
      </c>
      <c r="J10" s="14">
        <f>$B$4+H10*7-1</f>
        <v/>
      </c>
      <c r="K10" s="14">
        <f>$B$4+SUM($D$7:D10)*7-1</f>
        <v/>
      </c>
      <c r="L10" s="14">
        <f>$B$4+SUM($E$7:E10)*7-1</f>
        <v/>
      </c>
      <c r="M10" s="9">
        <f>SUMIFS('User Stories'!$H$5:$H$200,'User Stories'!$J$5:$J$200,A10,'User Stories'!$F$5:$F$200,"Must")&amp;" - "&amp;SUMIFS('User Stories'!$I$5:$I$200,'User Stories'!$J$5:$J$200,A10,'User Stories'!$F$5:$F$200,"Must")</f>
        <v/>
      </c>
      <c r="N10" s="9" t="inlineStr">
        <is>
          <t>The headless runner simulates a 20-person clan for 100 years without crashing; the printed chronicle is shown to 3 people and at least 2 find a story in it; the determinism test passes.</t>
        </is>
      </c>
    </row>
    <row r="11" ht="42" customHeight="1" s="20">
      <c r="A11" s="7" t="inlineStr">
        <is>
          <t>M2b</t>
        </is>
      </c>
      <c r="B11" s="9" t="inlineStr">
        <is>
          <t>Story engine (KILL GATE 1 retry)</t>
        </is>
      </c>
      <c r="C11" s="9" t="inlineStr">
        <is>
          <t>1-2</t>
        </is>
      </c>
      <c r="D11" s="13" t="n">
        <v>10</v>
      </c>
      <c r="E11" s="13" t="n">
        <v>20</v>
      </c>
      <c r="F11" s="9">
        <f>ROUND((D11+E11)/2,0)</f>
        <v/>
      </c>
      <c r="G11" s="9">
        <f>H10+1</f>
        <v/>
      </c>
      <c r="H11" s="9">
        <f>G11+F11-1</f>
        <v/>
      </c>
      <c r="I11" s="14">
        <f>$B$4+(G11-1)*7</f>
        <v/>
      </c>
      <c r="J11" s="14">
        <f>$B$4+H11*7-1</f>
        <v/>
      </c>
      <c r="K11" s="14">
        <f>$B$4+SUM($D$7:D11)*7-1</f>
        <v/>
      </c>
      <c r="L11" s="14">
        <f>$B$4+SUM($E$7:E11)*7-1</f>
        <v/>
      </c>
      <c r="M11" s="9">
        <f>SUMIFS('User Stories'!$H$5:$H$200,'User Stories'!$J$5:$J$200,A11,'User Stories'!$F$5:$F$200,"Must")&amp;" - "&amp;SUMIFS('User Stories'!$I$5:$I$200,'User Stories'!$J$5:$J$200,A11,'User Stories'!$F$5:$F$200,"Must")</f>
        <v/>
      </c>
      <c r="N11" s="9" t="inlineStr">
        <is>
          <t>The chronicle tells the clan's story in fewer, bigger episodes with reasons; every death and feud says why; the 100-year soak still runs without crashing and the determinism test passes; the owner reads the printed story and judges whether it is a story (Kill Gate 1 retry).</t>
        </is>
      </c>
    </row>
    <row r="12" ht="42" customHeight="1" s="20">
      <c r="A12" s="7" t="inlineStr">
        <is>
          <t>M2c</t>
        </is>
      </c>
      <c r="B12" s="9" t="inlineStr">
        <is>
          <t>Level editor (Game mode and Editor mode)</t>
        </is>
      </c>
      <c r="C12" s="9" t="inlineStr">
        <is>
          <t>1-2</t>
        </is>
      </c>
      <c r="D12" s="13" t="n">
        <v>3</v>
      </c>
      <c r="E12" s="13" t="n">
        <v>8</v>
      </c>
      <c r="F12" s="9">
        <f>ROUND((D12+E12)/2,0)</f>
        <v/>
      </c>
      <c r="G12" s="9">
        <f>H11+1</f>
        <v/>
      </c>
      <c r="H12" s="9">
        <f>G12+F12-1</f>
        <v/>
      </c>
      <c r="I12" s="14">
        <f>$B$4+(G12-1)*7</f>
        <v/>
      </c>
      <c r="J12" s="14">
        <f>$B$4+H12*7-1</f>
        <v/>
      </c>
      <c r="K12" s="14">
        <f>$B$4+SUM($D$7:D12)*7-1</f>
        <v/>
      </c>
      <c r="L12" s="14">
        <f>$B$4+SUM($E$7:E12)*7-1</f>
        <v/>
      </c>
      <c r="M12" s="9">
        <f>SUMIFS('User Stories'!$H$5:$H$200,'User Stories'!$J$5:$J$200,A12,'User Stories'!$F$5:$F$200,"Must")&amp;" - "&amp;SUMIFS('User Stories'!$I$5:$I$200,'User Stories'!$J$5:$J$200,A12,'User Stories'!$F$5:$F$200,"Must")</f>
        <v/>
      </c>
      <c r="N12" s="9" t="inlineStr">
        <is>
          <t>The owner switches between Game mode and Editor mode, paints ground tiles, places characters with properties, sets the level's name, size, default ground and hero start, saves, reloads and plays the level; the demos still work.</t>
        </is>
      </c>
    </row>
    <row r="13" ht="42" customHeight="1" s="20">
      <c r="A13" s="7" t="inlineStr">
        <is>
          <t>M2d</t>
        </is>
      </c>
      <c r="B13" s="9" t="inlineStr">
        <is>
          <t>Content and combat (weapons, nature, effects, weather)</t>
        </is>
      </c>
      <c r="C13" s="21" t="n">
        <v>46024</v>
      </c>
      <c r="D13" s="13" t="n">
        <v>4</v>
      </c>
      <c r="E13" s="13" t="n">
        <v>9</v>
      </c>
      <c r="F13" s="9">
        <f>ROUND((D13+E13)/2,0)</f>
        <v/>
      </c>
      <c r="G13" s="9">
        <f>H12+1</f>
        <v/>
      </c>
      <c r="H13" s="9">
        <f>G13+F13-1</f>
        <v/>
      </c>
      <c r="I13" s="14">
        <f>$B$4+(G13-1)*7</f>
        <v/>
      </c>
      <c r="J13" s="14">
        <f>$B$4+H13*7-1</f>
        <v/>
      </c>
      <c r="K13" s="14">
        <f>$B$4+SUM($D$7:D13)*7-1</f>
        <v/>
      </c>
      <c r="L13" s="14">
        <f>$B$4+SUM($E$7:E13)*7-1</f>
        <v/>
      </c>
      <c r="M13" s="9">
        <f>SUMIFS('User Stories'!$H$5:$H$200,'User Stories'!$J$5:$J$200,A13,'User Stories'!$F$5:$F$200,"Must")&amp;" - "&amp;SUMIFS('User Stories'!$I$5:$I$200,'User Stories'!$J$5:$J$200,A13,'User Stories'!$F$5:$F$200,"Must")</f>
        <v/>
      </c>
      <c r="N13" s="9" t="inlineStr">
        <is>
          <t>The hero fights with 16 starter weapons of 8 classes and elements; enemies strike back; plants block, are chopped and eaten and regrow; animals and effects are placed in the Editor; the weather changes by itself.</t>
        </is>
      </c>
    </row>
    <row r="14" ht="42" customHeight="1" s="20">
      <c r="A14" s="7" t="inlineStr">
        <is>
          <t>M3</t>
        </is>
      </c>
      <c r="B14" s="9" t="inlineStr">
        <is>
          <t>Living clan on screen</t>
        </is>
      </c>
      <c r="C14" s="9" t="inlineStr">
        <is>
          <t>5-6</t>
        </is>
      </c>
      <c r="D14" s="13" t="n">
        <v>3</v>
      </c>
      <c r="E14" s="13" t="n">
        <v>6</v>
      </c>
      <c r="F14" s="9">
        <f>ROUND((D14+E14)/2,0)</f>
        <v/>
      </c>
      <c r="G14" s="9">
        <f>H13+1</f>
        <v/>
      </c>
      <c r="H14" s="9">
        <f>G14+F14-1</f>
        <v/>
      </c>
      <c r="I14" s="14">
        <f>$B$4+(G14-1)*7</f>
        <v/>
      </c>
      <c r="J14" s="14">
        <f>$B$4+H14*7-1</f>
        <v/>
      </c>
      <c r="K14" s="14">
        <f>$B$4+SUM($D$7:D14)*7-1</f>
        <v/>
      </c>
      <c r="L14" s="14">
        <f>$B$4+SUM($E$7:E14)*7-1</f>
        <v/>
      </c>
      <c r="M14" s="9">
        <f>SUMIFS('User Stories'!$H$5:$H$200,'User Stories'!$J$5:$J$200,A14,'User Stories'!$F$5:$F$200,"Must")&amp;" - "&amp;SUMIFS('User Stories'!$I$5:$I$200,'User Stories'!$J$5:$J$200,A14,'User Stories'!$F$5:$F$200,"Must")</f>
        <v/>
      </c>
      <c r="N14" s="9" t="inlineStr">
        <is>
          <t>The clan from M2 and M2b runs inside the game; NPCs are visible, dressed in layered outfits, and act on their needs.</t>
        </is>
      </c>
    </row>
    <row r="15" ht="42" customHeight="1" s="20">
      <c r="A15" s="7" t="inlineStr">
        <is>
          <t>M4</t>
        </is>
      </c>
      <c r="B15" s="9" t="inlineStr">
        <is>
          <t>Region, tools and saves</t>
        </is>
      </c>
      <c r="C15" s="9" t="inlineStr">
        <is>
          <t>7-9</t>
        </is>
      </c>
      <c r="D15" s="13" t="n">
        <v>5</v>
      </c>
      <c r="E15" s="13" t="n">
        <v>10</v>
      </c>
      <c r="F15" s="9">
        <f>ROUND((D15+E15)/2,0)</f>
        <v/>
      </c>
      <c r="G15" s="9">
        <f>H14+1</f>
        <v/>
      </c>
      <c r="H15" s="9">
        <f>G15+F15-1</f>
        <v/>
      </c>
      <c r="I15" s="14">
        <f>$B$4+(G15-1)*7</f>
        <v/>
      </c>
      <c r="J15" s="14">
        <f>$B$4+H15*7-1</f>
        <v/>
      </c>
      <c r="K15" s="14">
        <f>$B$4+SUM($D$7:D15)*7-1</f>
        <v/>
      </c>
      <c r="L15" s="14">
        <f>$B$4+SUM($E$7:E15)*7-1</f>
        <v/>
      </c>
      <c r="M15" s="9">
        <f>SUMIFS('User Stories'!$H$5:$H$200,'User Stories'!$J$5:$J$200,A15,'User Stories'!$F$5:$F$200,"Must")&amp;" - "&amp;SUMIFS('User Stories'!$I$5:$I$200,'User Stories'!$J$5:$J$200,A15,'User Stories'!$F$5:$F$200,"Must")</f>
        <v/>
      </c>
      <c r="N15" s="9" t="inlineStr">
        <is>
          <t>A region is generated from a seed with biomes, resources and two rival clans; any NPC can be inspected; the game saves and loads.</t>
        </is>
      </c>
    </row>
    <row r="16" ht="25.5" customHeight="1" s="20">
      <c r="A16" s="7" t="inlineStr">
        <is>
          <t>M5</t>
        </is>
      </c>
      <c r="B16" s="9" t="inlineStr">
        <is>
          <t>Vertical slice feature-complete</t>
        </is>
      </c>
      <c r="C16" s="9" t="inlineStr">
        <is>
          <t>10</t>
        </is>
      </c>
      <c r="D16" s="13" t="n">
        <v>16</v>
      </c>
      <c r="E16" s="13" t="n">
        <v>31</v>
      </c>
      <c r="F16" s="9">
        <f>ROUND((D16+E16)/2,0)</f>
        <v/>
      </c>
      <c r="G16" s="9">
        <f>H15+1</f>
        <v/>
      </c>
      <c r="H16" s="9">
        <f>G16+F16-1</f>
        <v/>
      </c>
      <c r="I16" s="14">
        <f>$B$4+(G16-1)*7</f>
        <v/>
      </c>
      <c r="J16" s="14">
        <f>$B$4+H16*7-1</f>
        <v/>
      </c>
      <c r="K16" s="14">
        <f>$B$4+SUM($D$7:D16)*7-1</f>
        <v/>
      </c>
      <c r="L16" s="14">
        <f>$B$4+SUM($E$7:E16)*7-1</f>
        <v/>
      </c>
      <c r="M16" s="9">
        <f>SUMIFS('User Stories'!$H$5:$H$200,'User Stories'!$J$5:$J$200,A16,'User Stories'!$F$5:$F$200,"Must")&amp;" - "&amp;SUMIFS('User Stories'!$I$5:$I$200,'User Stories'!$J$5:$J$200,A16,'User Stories'!$F$5:$F$200,"Must")</f>
        <v/>
      </c>
      <c r="N16" s="9" t="inlineStr">
        <is>
          <t>A player can start a new game, live the Growing Period, take a profession, pursue Trade or Religion, and win or lose.</t>
        </is>
      </c>
    </row>
    <row r="17" ht="25.5" customHeight="1" s="20">
      <c r="A17" s="7" t="inlineStr">
        <is>
          <t>M7</t>
        </is>
      </c>
      <c r="B17" s="9" t="inlineStr">
        <is>
          <t>World interactions</t>
        </is>
      </c>
      <c r="C17" s="9" t="inlineStr">
        <is>
          <t>-</t>
        </is>
      </c>
      <c r="D17" s="13" t="n">
        <v>8</v>
      </c>
      <c r="E17" s="13" t="n">
        <v>16</v>
      </c>
      <c r="F17" s="9">
        <f>ROUND((D17+E17)/2,0)</f>
        <v/>
      </c>
      <c r="G17" s="9">
        <f>H16+1</f>
        <v/>
      </c>
      <c r="H17" s="9">
        <f>G17+F17-1</f>
        <v/>
      </c>
      <c r="I17" s="14">
        <f>$B$4+(G17-1)*7</f>
        <v/>
      </c>
      <c r="J17" s="14">
        <f>$B$4+H17*7-1</f>
        <v/>
      </c>
      <c r="K17" s="14">
        <f>$B$4+SUM($D$7:D17)*7-1</f>
        <v/>
      </c>
      <c r="L17" s="14">
        <f>$B$4+SUM($E$7:E17)*7-1</f>
        <v/>
      </c>
      <c r="M17" s="9">
        <f>SUMIFS('User Stories'!$H$5:$H$200,'User Stories'!$J$5:$J$200,A17,'User Stories'!$F$5:$F$200,"Must")&amp;" - "&amp;SUMIFS('User Stories'!$I$5:$I$200,'User Stories'!$J$5:$J$200,A17,'User Stories'!$F$5:$F$200,"Must")</f>
        <v/>
      </c>
      <c r="N17" s="9" t="inlineStr">
        <is>
          <t>Every action in today's game comes from data files; the player, NPCs and animals act on things with timed, visible, saved results; files edited offline reload with F5 and errors name file and line.</t>
        </is>
      </c>
    </row>
    <row r="18" ht="25.5" customHeight="1" s="20">
      <c r="A18" s="7" t="inlineStr">
        <is>
          <t>M8</t>
        </is>
      </c>
      <c r="B18" s="9" t="inlineStr">
        <is>
          <t>Speak to NPCs</t>
        </is>
      </c>
      <c r="C18" s="9" t="inlineStr">
        <is>
          <t>-</t>
        </is>
      </c>
      <c r="D18" s="13" t="n">
        <v>7</v>
      </c>
      <c r="E18" s="13" t="n">
        <v>14</v>
      </c>
      <c r="F18" s="9">
        <f>ROUND((D18+E18)/2,0)</f>
        <v/>
      </c>
      <c r="G18" s="9">
        <f>H17+1</f>
        <v/>
      </c>
      <c r="H18" s="9">
        <f>G18+F18-1</f>
        <v/>
      </c>
      <c r="I18" s="14">
        <f>$B$4+(G18-1)*7</f>
        <v/>
      </c>
      <c r="J18" s="14">
        <f>$B$4+H18*7-1</f>
        <v/>
      </c>
      <c r="K18" s="14">
        <f>$B$4+SUM($D$7:D18)*7-1</f>
        <v/>
      </c>
      <c r="L18" s="14">
        <f>$B$4+SUM($E$7:E18)*7-1</f>
        <v/>
      </c>
      <c r="M18" s="9">
        <f>SUMIFS('User Stories'!$H$5:$H$200,'User Stories'!$J$5:$J$200,A18,'User Stories'!$F$5:$F$200,"Must")&amp;" - "&amp;SUMIFS('User Stories'!$I$5:$I$200,'User Stories'!$J$5:$J$200,A18,'User Stories'!$F$5:$F$200,"Must")</f>
        <v/>
      </c>
      <c r="N18" s="9" t="inlineStr">
        <is>
          <t>The player talks to any clan member; written conversations branch on the simulation; without a script NPCs make small talk from their memories; talk changes opinions, items and memories; NPCs talk to each other in bubbles.</t>
        </is>
      </c>
    </row>
    <row r="19" ht="25.5" customHeight="1" s="20">
      <c r="A19" s="7" t="inlineStr">
        <is>
          <t>M9</t>
        </is>
      </c>
      <c r="B19" s="9" t="inlineStr">
        <is>
          <t>Interaction and dialogue editor</t>
        </is>
      </c>
      <c r="C19" s="9" t="inlineStr">
        <is>
          <t>-</t>
        </is>
      </c>
      <c r="D19" s="13" t="n">
        <v>8</v>
      </c>
      <c r="E19" s="13" t="n">
        <v>16</v>
      </c>
      <c r="F19" s="9">
        <f>ROUND((D19+E19)/2,0)</f>
        <v/>
      </c>
      <c r="G19" s="9">
        <f>H18+1</f>
        <v/>
      </c>
      <c r="H19" s="9">
        <f>G19+F19-1</f>
        <v/>
      </c>
      <c r="I19" s="14">
        <f>$B$4+(G19-1)*7</f>
        <v/>
      </c>
      <c r="J19" s="14">
        <f>$B$4+H19*7-1</f>
        <v/>
      </c>
      <c r="K19" s="14">
        <f>$B$4+SUM($D$7:D19)*7-1</f>
        <v/>
      </c>
      <c r="L19" s="14">
        <f>$B$4+SUM($E$7:E19)*7-1</f>
        <v/>
      </c>
      <c r="M19" s="9">
        <f>SUMIFS('User Stories'!$H$5:$H$200,'User Stories'!$J$5:$J$200,A19,'User Stories'!$F$5:$F$200,"Must")&amp;" - "&amp;SUMIFS('User Stories'!$I$5:$I$200,'User Stories'!$J$5:$J$200,A19,'User Stories'!$F$5:$F$200,"Must")</f>
        <v/>
      </c>
      <c r="N19" s="9" t="inlineStr">
        <is>
          <t>The owner opens any dialogue or interaction in the Editor as a graph, edits it, test-plays it and saves it, and the file still reads well in a text editor.</t>
        </is>
      </c>
    </row>
    <row r="20" ht="25.5" customHeight="1" s="20">
      <c r="A20" s="7" t="inlineStr">
        <is>
          <t>M6</t>
        </is>
      </c>
      <c r="B20" s="9" t="inlineStr">
        <is>
          <t>Playtest and go/no-go (KILL GATE 2)</t>
        </is>
      </c>
      <c r="C20" s="9" t="inlineStr">
        <is>
          <t>-</t>
        </is>
      </c>
      <c r="D20" s="13" t="n">
        <v>3</v>
      </c>
      <c r="E20" s="13" t="n">
        <v>4</v>
      </c>
      <c r="F20" s="9">
        <f>ROUND((D20+E20)/2,0)</f>
        <v/>
      </c>
      <c r="G20" s="9">
        <f>H19+1</f>
        <v/>
      </c>
      <c r="H20" s="9">
        <f>G20+F20-1</f>
        <v/>
      </c>
      <c r="I20" s="14">
        <f>$B$4+(G20-1)*7</f>
        <v/>
      </c>
      <c r="J20" s="14">
        <f>$B$4+H20*7-1</f>
        <v/>
      </c>
      <c r="K20" s="14">
        <f>$B$4+SUM($D$7:D20)*7-1</f>
        <v/>
      </c>
      <c r="L20" s="14">
        <f>$B$4+SUM($E$7:E20)*7-1</f>
        <v/>
      </c>
      <c r="M20" s="9">
        <f>SUMIFS('User Stories'!$H$5:$H$200,'User Stories'!$J$5:$J$200,A20,'User Stories'!$F$5:$F$200,"Must")&amp;" - "&amp;SUMIFS('User Stories'!$I$5:$I$200,'User Stories'!$J$5:$J$200,A20,'User Stories'!$F$5:$F$200,"Must")</f>
        <v/>
      </c>
      <c r="N20" s="9" t="inlineStr">
        <is>
          <t>8 outside playtesters play; success criteria measured; go/no-go decision recorded. Held after M9 (owner, 2026-10-01, D-34).</t>
        </is>
      </c>
    </row>
    <row r="21" s="20">
      <c r="A21" s="7" t="n"/>
      <c r="B21" s="7" t="inlineStr">
        <is>
          <t>MVP total</t>
        </is>
      </c>
      <c r="C21" s="7" t="n"/>
      <c r="D21" s="7">
        <f>SUM(D7:D20)</f>
        <v/>
      </c>
      <c r="E21" s="7">
        <f>SUM(E7:E20)</f>
        <v/>
      </c>
      <c r="F21" s="7">
        <f>SUM(F7:F20)</f>
        <v/>
      </c>
      <c r="G21" s="7" t="n"/>
      <c r="H21" s="7">
        <f>H20</f>
        <v/>
      </c>
      <c r="I21" s="15">
        <f>I7</f>
        <v/>
      </c>
      <c r="J21" s="15">
        <f>J20</f>
        <v/>
      </c>
      <c r="K21" s="15">
        <f>K20</f>
        <v/>
      </c>
      <c r="L21" s="15">
        <f>L20</f>
        <v/>
      </c>
      <c r="M21" s="7" t="n"/>
      <c r="N21" s="7" t="inlineStr">
        <is>
          <t>Months (likely) = weeks / 4.33</t>
        </is>
      </c>
    </row>
    <row r="22" ht="27.95" customHeight="1" s="20">
      <c r="A22" s="7" t="n"/>
      <c r="B22" s="7" t="inlineStr">
        <is>
          <t>In months</t>
        </is>
      </c>
      <c r="C22" s="7" t="n"/>
      <c r="D22" s="7">
        <f>ROUND(D21/4.33,1)</f>
        <v/>
      </c>
      <c r="E22" s="7">
        <f>ROUND(E21/4.33,1)</f>
        <v/>
      </c>
      <c r="F22" s="7">
        <f>ROUND(F21/4.33,1)</f>
        <v/>
      </c>
      <c r="G22" s="7" t="n"/>
      <c r="H22" s="7" t="n"/>
      <c r="I22" s="7" t="n"/>
      <c r="J22" s="7" t="n"/>
      <c r="K22" s="7" t="n"/>
      <c r="L22" s="7" t="n"/>
      <c r="M22" s="7" t="n"/>
      <c r="N22" s="7" t="n"/>
    </row>
    <row r="23" ht="27.95" customHeight="1" s="20"/>
    <row r="24" ht="27.95" customHeight="1" s="20">
      <c r="B24" s="19" t="inlineStr">
        <is>
          <t>Why the estimate grew: the learning path (requirements, section 8.3) estimated 9-13 months top-down. The bottom-up sum of the MVP stories is higher; this sheet uses the bottom-up figure.</t>
        </is>
      </c>
    </row>
    <row r="25" s="20">
      <c r="B25" s="19" t="inlineStr">
        <is>
          <t>Buffer: the 'Should' stories are the cut list if time runs short. Cutting all of them saves about 5-11 weeks.</t>
        </is>
      </c>
    </row>
    <row r="26" ht="102" customHeight="1" s="20">
      <c r="B26" s="19" t="inlineStr">
        <is>
          <t>Kill gates: M2 (is the console chronicle interesting? failed 2026-09-30, passed at the M2b retry) and M6 (do playtesters stay?), held after M9 (D-34). Critical path: M0 &gt; M1 &gt; M1b &gt; M2 &gt; M2b &gt; M2c &gt; M2d &gt; M3 &gt; M4 &gt; M5 &gt; M7 &gt; M8 &gt; M9 &gt; M6. Dates of M2c onwards are not re-planned yet.</t>
        </is>
      </c>
    </row>
  </sheetData>
  <mergeCells count="3">
    <mergeCell ref="B25:N25"/>
    <mergeCell ref="B24:N24"/>
    <mergeCell ref="B26:N26"/>
  </mergeCells>
  <conditionalFormatting sqref="P7:EY20">
    <cfRule type="expression" priority="1" dxfId="10">
      <formula>AND(P$6&gt;=$G7,P$6&lt;=$H7)</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6" customWidth="1" style="20" min="1" max="1"/>
    <col width="70" customWidth="1" style="20" min="2" max="2"/>
    <col width="18" customWidth="1" style="20" min="3" max="3"/>
    <col width="14" customWidth="1" style="20" min="4" max="4"/>
    <col width="26" customWidth="1" style="20" min="5" max="5"/>
    <col width="16" customWidth="1" style="20" min="6" max="6"/>
    <col width="11" customWidth="1" style="20" min="7" max="7"/>
  </cols>
  <sheetData>
    <row r="1" ht="20.25" customHeight="1" s="20">
      <c r="A1" s="1" t="inlineStr">
        <is>
          <t>Dependencies</t>
        </is>
      </c>
    </row>
    <row r="2">
      <c r="A2" s="2" t="inlineStr">
        <is>
          <t>Design decisions you owe, external needs, and the technical chain. A story is Ready only when its dependencies are Decided.</t>
        </is>
      </c>
    </row>
    <row r="3"/>
    <row r="4">
      <c r="A4" s="6" t="inlineStr">
        <is>
          <t>ID</t>
        </is>
      </c>
      <c r="B4" s="6" t="inlineStr">
        <is>
          <t>Dependency</t>
        </is>
      </c>
      <c r="C4" s="6" t="inlineStr">
        <is>
          <t>Type</t>
        </is>
      </c>
      <c r="D4" s="6" t="inlineStr">
        <is>
          <t>Needed by</t>
        </is>
      </c>
      <c r="E4" s="6" t="inlineStr">
        <is>
          <t>Blocks</t>
        </is>
      </c>
      <c r="F4" s="6" t="inlineStr">
        <is>
          <t>Owner</t>
        </is>
      </c>
      <c r="G4" s="6" t="inlineStr">
        <is>
          <t>Status</t>
        </is>
      </c>
    </row>
    <row r="5">
      <c r="A5" s="7" t="inlineStr">
        <is>
          <t>D-01</t>
        </is>
      </c>
      <c r="B5" s="9" t="inlineStr">
        <is>
          <t>Confirm time model: pausable real time with speed control (OPEN-04)</t>
        </is>
      </c>
      <c r="C5" s="9" t="inlineStr">
        <is>
          <t>Design decision</t>
        </is>
      </c>
      <c r="D5" s="9" t="inlineStr">
        <is>
          <t>M2</t>
        </is>
      </c>
      <c r="E5" s="9" t="inlineStr">
        <is>
          <t>US-010</t>
        </is>
      </c>
      <c r="F5" s="9" t="inlineStr">
        <is>
          <t>Owner</t>
        </is>
      </c>
      <c r="G5" s="16" t="inlineStr">
        <is>
          <t>Decided</t>
        </is>
      </c>
    </row>
    <row r="6" ht="25.5" customHeight="1" s="20">
      <c r="A6" s="7" t="inlineStr">
        <is>
          <t>D-02</t>
        </is>
      </c>
      <c r="B6" s="9" t="inlineStr">
        <is>
          <t>Side Characters: needs, traits, relationships (OPEN-10). Decided by Dominus (delegated), 2026-09-30.</t>
        </is>
      </c>
      <c r="C6" s="9" t="inlineStr">
        <is>
          <t>Design decision</t>
        </is>
      </c>
      <c r="D6" s="9" t="inlineStr">
        <is>
          <t>M2 (week 3)</t>
        </is>
      </c>
      <c r="E6" s="9" t="inlineStr">
        <is>
          <t>US-011, US-012, US-013</t>
        </is>
      </c>
      <c r="F6" s="9" t="inlineStr">
        <is>
          <t>Owner + Dominus</t>
        </is>
      </c>
      <c r="G6" s="16" t="inlineStr">
        <is>
          <t>Decided</t>
        </is>
      </c>
    </row>
    <row r="7">
      <c r="A7" s="7" t="inlineStr">
        <is>
          <t>D-03</t>
        </is>
      </c>
      <c r="B7" s="9" t="inlineStr">
        <is>
          <t>Confirm the Age 1 needs set: Hunger, Energy, Warmth, Social</t>
        </is>
      </c>
      <c r="C7" s="9" t="inlineStr">
        <is>
          <t>Design decision</t>
        </is>
      </c>
      <c r="D7" s="9" t="inlineStr">
        <is>
          <t>M2</t>
        </is>
      </c>
      <c r="E7" s="9" t="inlineStr">
        <is>
          <t>US-011</t>
        </is>
      </c>
      <c r="F7" s="9" t="inlineStr">
        <is>
          <t>Owner</t>
        </is>
      </c>
      <c r="G7" s="16" t="inlineStr">
        <is>
          <t>Decided</t>
        </is>
      </c>
    </row>
    <row r="8" ht="25.5" customHeight="1" s="20">
      <c r="A8" s="7" t="inlineStr">
        <is>
          <t>D-04</t>
        </is>
      </c>
      <c r="B8" s="9" t="inlineStr">
        <is>
          <t>Sprite size and facing directions (OPEN-11). Owner answer 2026-09-29: 32x48 px, 8 directions.</t>
        </is>
      </c>
      <c r="C8" s="9" t="inlineStr">
        <is>
          <t>Design decision</t>
        </is>
      </c>
      <c r="D8" s="9" t="inlineStr">
        <is>
          <t>M1</t>
        </is>
      </c>
      <c r="E8" s="9" t="inlineStr">
        <is>
          <t>US-022, US-024, US-030</t>
        </is>
      </c>
      <c r="F8" s="9" t="inlineStr">
        <is>
          <t>Owner</t>
        </is>
      </c>
      <c r="G8" s="16" t="inlineStr">
        <is>
          <t>Decided</t>
        </is>
      </c>
    </row>
    <row r="9" ht="140.25" customHeight="1" s="20">
      <c r="A9" s="7" t="inlineStr">
        <is>
          <t>D-05</t>
        </is>
      </c>
      <c r="B9" s="9" t="inlineStr">
        <is>
          <t>Art source for placeholders: own, free asset pack, or hired (OPEN-12)</t>
        </is>
      </c>
      <c r="C9" s="9" t="inlineStr">
        <is>
          <t>Design decision</t>
        </is>
      </c>
      <c r="D9" s="9" t="inlineStr">
        <is>
          <t>M3</t>
        </is>
      </c>
      <c r="E9" s="9" t="inlineStr">
        <is>
          <t>US-030</t>
        </is>
      </c>
      <c r="F9" s="9" t="inlineStr">
        <is>
          <t>Owner</t>
        </is>
      </c>
      <c r="G9" s="16" t="inlineStr">
        <is>
          <t>Decided (2026-09-30): own art, placeholder quality; licence checked before a public release</t>
        </is>
      </c>
    </row>
    <row r="10">
      <c r="A10" s="7" t="inlineStr">
        <is>
          <t>D-06</t>
        </is>
      </c>
      <c r="B10" s="9" t="inlineStr">
        <is>
          <t>Minimum PC spec (OPEN-19)</t>
        </is>
      </c>
      <c r="C10" s="9" t="inlineStr">
        <is>
          <t>Design decision</t>
        </is>
      </c>
      <c r="D10" s="9" t="inlineStr">
        <is>
          <t>M4</t>
        </is>
      </c>
      <c r="E10" s="9" t="inlineStr">
        <is>
          <t>US-082</t>
        </is>
      </c>
      <c r="F10" s="9" t="inlineStr">
        <is>
          <t>Owner</t>
        </is>
      </c>
      <c r="G10" s="16" t="inlineStr">
        <is>
          <t>Open</t>
        </is>
      </c>
    </row>
    <row r="11">
      <c r="A11" s="7" t="inlineStr">
        <is>
          <t>D-07</t>
        </is>
      </c>
      <c r="B11" s="9" t="inlineStr">
        <is>
          <t>Calendar display (OPEN-15)</t>
        </is>
      </c>
      <c r="C11" s="9" t="inlineStr">
        <is>
          <t>Design decision</t>
        </is>
      </c>
      <c r="D11" s="9" t="inlineStr">
        <is>
          <t>M4</t>
        </is>
      </c>
      <c r="E11" s="9" t="inlineStr">
        <is>
          <t>US-050, US-083</t>
        </is>
      </c>
      <c r="F11" s="9" t="inlineStr">
        <is>
          <t>Owner</t>
        </is>
      </c>
      <c r="G11" s="16" t="inlineStr">
        <is>
          <t>Open</t>
        </is>
      </c>
    </row>
    <row r="12">
      <c r="A12" s="7" t="inlineStr">
        <is>
          <t>D-08</t>
        </is>
      </c>
      <c r="B12" s="9" t="inlineStr">
        <is>
          <t>Interactions interview: verbs, objects, crafting (OPEN-09)</t>
        </is>
      </c>
      <c r="C12" s="9" t="inlineStr">
        <is>
          <t>Design decision</t>
        </is>
      </c>
      <c r="D12" s="9" t="inlineStr">
        <is>
          <t>M4</t>
        </is>
      </c>
      <c r="E12" s="9" t="inlineStr">
        <is>
          <t>US-061, US-062</t>
        </is>
      </c>
      <c r="F12" s="9" t="inlineStr">
        <is>
          <t>Owner + Dominus</t>
        </is>
      </c>
      <c r="G12" s="16" t="inlineStr">
        <is>
          <t>Decided (answered by D-34)</t>
        </is>
      </c>
    </row>
    <row r="13">
      <c r="A13" s="7" t="inlineStr">
        <is>
          <t>D-09</t>
        </is>
      </c>
      <c r="B13" s="9" t="inlineStr">
        <is>
          <t>Confirm the five Age 1 professions (MVP-07)</t>
        </is>
      </c>
      <c r="C13" s="9" t="inlineStr">
        <is>
          <t>Design decision</t>
        </is>
      </c>
      <c r="D13" s="9" t="inlineStr">
        <is>
          <t>M4</t>
        </is>
      </c>
      <c r="E13" s="9" t="inlineStr">
        <is>
          <t>US-060</t>
        </is>
      </c>
      <c r="F13" s="9" t="inlineStr">
        <is>
          <t>Owner</t>
        </is>
      </c>
      <c r="G13" s="16" t="inlineStr">
        <is>
          <t>Proposed</t>
        </is>
      </c>
    </row>
    <row r="14">
      <c r="A14" s="7" t="inlineStr">
        <is>
          <t>D-10</t>
        </is>
      </c>
      <c r="B14" s="9" t="inlineStr">
        <is>
          <t>Confirm MVP pillars Trade + Religion (MVP-08) and victory thresholds (MVP-09)</t>
        </is>
      </c>
      <c r="C14" s="9" t="inlineStr">
        <is>
          <t>Design decision</t>
        </is>
      </c>
      <c r="D14" s="9" t="inlineStr">
        <is>
          <t>M5</t>
        </is>
      </c>
      <c r="E14" s="9" t="inlineStr">
        <is>
          <t>US-070..US-073</t>
        </is>
      </c>
      <c r="F14" s="9" t="inlineStr">
        <is>
          <t>Owner</t>
        </is>
      </c>
      <c r="G14" s="16" t="inlineStr">
        <is>
          <t>Proposed</t>
        </is>
      </c>
    </row>
    <row r="15">
      <c r="A15" s="7" t="inlineStr">
        <is>
          <t>D-11</t>
        </is>
      </c>
      <c r="B15" s="9" t="inlineStr">
        <is>
          <t>Story interview: tone of events, onboarding elder (OPEN-08)</t>
        </is>
      </c>
      <c r="C15" s="9" t="inlineStr">
        <is>
          <t>Design decision</t>
        </is>
      </c>
      <c r="D15" s="9" t="inlineStr">
        <is>
          <t>M5</t>
        </is>
      </c>
      <c r="E15" s="9" t="inlineStr">
        <is>
          <t>US-052, US-090</t>
        </is>
      </c>
      <c r="F15" s="9" t="inlineStr">
        <is>
          <t>Owner + Dominus</t>
        </is>
      </c>
      <c r="G15" s="16" t="inlineStr">
        <is>
          <t>Open</t>
        </is>
      </c>
    </row>
    <row r="16">
      <c r="A16" s="7" t="inlineStr">
        <is>
          <t>D-12</t>
        </is>
      </c>
      <c r="B16" s="9" t="inlineStr">
        <is>
          <t>Visual Studio, CMake, Git, vcpkg installed; GitHub account and private repo</t>
        </is>
      </c>
      <c r="C16" s="9" t="inlineStr">
        <is>
          <t>External / tooling</t>
        </is>
      </c>
      <c r="D16" s="9" t="inlineStr">
        <is>
          <t>M0</t>
        </is>
      </c>
      <c r="E16" s="9" t="inlineStr">
        <is>
          <t>US-001, US-002</t>
        </is>
      </c>
      <c r="F16" s="9" t="inlineStr">
        <is>
          <t>Owner</t>
        </is>
      </c>
      <c r="G16" s="16" t="inlineStr">
        <is>
          <t>Decided</t>
        </is>
      </c>
    </row>
    <row r="17" ht="25.5" customHeight="1" s="20">
      <c r="A17" s="7" t="inlineStr">
        <is>
          <t>D-13</t>
        </is>
      </c>
      <c r="B17" s="9" t="inlineStr">
        <is>
          <t>SDL3, EnTT, Dear ImGui, nlohmann/json, doctest, FastNoiseLite available via vcpkg or third_party</t>
        </is>
      </c>
      <c r="C17" s="9" t="inlineStr">
        <is>
          <t>External / libraries</t>
        </is>
      </c>
      <c r="D17" s="9" t="inlineStr">
        <is>
          <t>M0-M4</t>
        </is>
      </c>
      <c r="E17" s="9" t="inlineStr">
        <is>
          <t>US-020, US-032, US-083, US-016, US-040</t>
        </is>
      </c>
      <c r="F17" s="9" t="inlineStr">
        <is>
          <t>Developer</t>
        </is>
      </c>
      <c r="G17" s="16" t="inlineStr">
        <is>
          <t>Decided</t>
        </is>
      </c>
    </row>
    <row r="18">
      <c r="A18" s="7" t="inlineStr">
        <is>
          <t>D-14</t>
        </is>
      </c>
      <c r="B18" s="9" t="inlineStr">
        <is>
          <t>Eight outside playtesters recruited</t>
        </is>
      </c>
      <c r="C18" s="9" t="inlineStr">
        <is>
          <t>External / people</t>
        </is>
      </c>
      <c r="D18" s="9" t="inlineStr">
        <is>
          <t>M6</t>
        </is>
      </c>
      <c r="E18" s="9" t="inlineStr">
        <is>
          <t>Kill gate 2</t>
        </is>
      </c>
      <c r="F18" s="9" t="inlineStr">
        <is>
          <t>Owner</t>
        </is>
      </c>
      <c r="G18" s="16" t="inlineStr">
        <is>
          <t>Open</t>
        </is>
      </c>
    </row>
    <row r="19" ht="25.5" customHeight="1" s="20">
      <c r="A19" s="7" t="inlineStr">
        <is>
          <t>D-15</t>
        </is>
      </c>
      <c r="B19" s="9" t="inlineStr">
        <is>
          <t>Technical chain: M0 &gt; M1 &gt; M1b &gt; M2 &gt; M2b &gt; M2c &gt; M2d &gt; M3 &gt; M4 &gt; M5 &gt; M7 &gt; M8 &gt; M9 &gt; M6 (each milestone needs the previous one)</t>
        </is>
      </c>
      <c r="C19" s="9" t="inlineStr">
        <is>
          <t>Technical</t>
        </is>
      </c>
      <c r="D19" s="9" t="inlineStr">
        <is>
          <t>All</t>
        </is>
      </c>
      <c r="E19" s="9" t="inlineStr">
        <is>
          <t>All</t>
        </is>
      </c>
      <c r="F19" s="9" t="inlineStr">
        <is>
          <t>Developer</t>
        </is>
      </c>
      <c r="G19" s="16" t="inlineStr">
        <is>
          <t>Planned</t>
        </is>
      </c>
    </row>
    <row r="20" ht="38.25" customHeight="1" s="20">
      <c r="A20" s="7" t="inlineStr">
        <is>
          <t>D-GATE-M2</t>
        </is>
      </c>
      <c r="B20" s="9" t="inlineStr">
        <is>
          <t>Kill Gate 1 result: did 2 of 3 readers find a story in the console chronicle?</t>
        </is>
      </c>
      <c r="C20" s="9" t="inlineStr">
        <is>
          <t>External / people</t>
        </is>
      </c>
      <c r="D20" s="9" t="inlineStr">
        <is>
          <t>M2 exit</t>
        </is>
      </c>
      <c r="E20" s="9" t="inlineStr">
        <is>
          <t>M3 (all)</t>
        </is>
      </c>
      <c r="F20" s="9" t="inlineStr">
        <is>
          <t>Owner</t>
        </is>
      </c>
      <c r="G20" s="16" t="inlineStr">
        <is>
          <t>Decided: Pivot</t>
        </is>
      </c>
    </row>
    <row r="21" ht="38.25" customHeight="1" s="20">
      <c r="A21" s="7" t="inlineStr">
        <is>
          <t>D-18</t>
        </is>
      </c>
      <c r="B21" s="9" t="inlineStr">
        <is>
          <t>Story pivot design: story arcs on a richer social simulation; quarrels, blame, revenge; sharing and nursing; courtship and rivals; teaching and hunting parties; episodes plus lines with reasons; the owner judges the retry alone</t>
        </is>
      </c>
      <c r="C21" s="9" t="inlineStr">
        <is>
          <t>Design decision</t>
        </is>
      </c>
      <c r="D21" s="9" t="inlineStr">
        <is>
          <t>M2b</t>
        </is>
      </c>
      <c r="E21" s="9" t="inlineStr">
        <is>
          <t>US-110..US-115</t>
        </is>
      </c>
      <c r="F21" s="9" t="inlineStr">
        <is>
          <t>Owner</t>
        </is>
      </c>
      <c r="G21" s="16" t="inlineStr">
        <is>
          <t>Decided</t>
        </is>
      </c>
    </row>
    <row r="22" ht="38.25" customHeight="1" s="20">
      <c r="A22" s="7" t="inlineStr">
        <is>
          <t>D-GATE-M2b</t>
        </is>
      </c>
      <c r="B22" s="9" t="inlineStr">
        <is>
          <t>Kill Gate 1 retry: the owner reads the M2b story and judges whether it is a story</t>
        </is>
      </c>
      <c r="C22" s="9" t="inlineStr">
        <is>
          <t>External / people</t>
        </is>
      </c>
      <c r="D22" s="9" t="inlineStr">
        <is>
          <t>M2b exit</t>
        </is>
      </c>
      <c r="E22" s="9" t="inlineStr">
        <is>
          <t>M3 (all)</t>
        </is>
      </c>
      <c r="F22" s="9" t="inlineStr">
        <is>
          <t>Owner</t>
        </is>
      </c>
      <c r="G22" s="16" t="inlineStr">
        <is>
          <t>Decided: Go (2026-09-30)</t>
        </is>
      </c>
    </row>
    <row r="23" ht="25.5" customHeight="1" s="20">
      <c r="A23" s="7" t="inlineStr">
        <is>
          <t>D-19</t>
        </is>
      </c>
      <c r="B23" s="9" t="inlineStr">
        <is>
          <t>Level editor scope v1: settings are level and character properties; placed characters stand still with properties; new milestone M2c before M3</t>
        </is>
      </c>
      <c r="C23" s="9" t="inlineStr">
        <is>
          <t>Design decision</t>
        </is>
      </c>
      <c r="D23" s="9" t="inlineStr">
        <is>
          <t>M2c</t>
        </is>
      </c>
      <c r="E23" s="9" t="inlineStr">
        <is>
          <t>US-120..US-126</t>
        </is>
      </c>
      <c r="F23" s="9" t="inlineStr">
        <is>
          <t>Owner</t>
        </is>
      </c>
      <c r="G23" s="16" t="inlineStr">
        <is>
          <t>Decided</t>
        </is>
      </c>
    </row>
    <row r="24" ht="51" customHeight="1" s="20">
      <c r="A24" s="7" t="inlineStr">
        <is>
          <t>D-21</t>
        </is>
      </c>
      <c r="B24" s="9" t="inlineStr">
        <is>
          <t>M2d content and combat: full gameplay; 16 starter weapons as pickups with a 9-slot hotbar; 8 weapon classes; elements; hero 100 HP; enemies strike back within 1.5 m after 0.5 s; plants block, chop, heal 10, regrow in 15 s in camera view; predators and boars are enemies; effects; random weather every 60-120 s</t>
        </is>
      </c>
      <c r="C24" s="9" t="inlineStr">
        <is>
          <t>Design decision</t>
        </is>
      </c>
      <c r="D24" s="9" t="inlineStr">
        <is>
          <t>M2d</t>
        </is>
      </c>
      <c r="E24" s="9" t="inlineStr">
        <is>
          <t>US-130..US-138</t>
        </is>
      </c>
      <c r="F24" s="9" t="inlineStr">
        <is>
          <t>Owner</t>
        </is>
      </c>
      <c r="G24" s="16" t="inlineStr">
        <is>
          <t>Decided</t>
        </is>
      </c>
    </row>
    <row r="25" ht="25.5" customHeight="1" s="20">
      <c r="A25" s="7" t="inlineStr">
        <is>
          <t>D-22</t>
        </is>
      </c>
      <c r="B25" s="9" t="inlineStr">
        <is>
          <t>Design decisions are taken by the owner in interactive question rounds in chat; Dominus no longer delegates design or scope questions</t>
        </is>
      </c>
      <c r="C25" s="9" t="inlineStr">
        <is>
          <t>Process decision</t>
        </is>
      </c>
      <c r="D25" s="9" t="inlineStr">
        <is>
          <t>all</t>
        </is>
      </c>
      <c r="E25" s="9" t="inlineStr">
        <is>
          <t>all</t>
        </is>
      </c>
      <c r="F25" s="9" t="inlineStr">
        <is>
          <t>Owner</t>
        </is>
      </c>
      <c r="G25" s="16" t="inlineStr">
        <is>
          <t>Decided</t>
        </is>
      </c>
    </row>
    <row r="26" ht="25.5" customHeight="1" s="20">
      <c r="A26" s="7" t="inlineStr">
        <is>
          <t>D-34</t>
        </is>
      </c>
      <c r="B26" s="9" t="inlineStr">
        <is>
          <t>World interactions and dialogue (Round 13): plain-text .dlg dialogue + JSON interactions (comments allowed); hybrid talk (written trees reading the simulation + generated small talk); full visual graph editor plus F5 hot reload; build M7-M9 first, kill gate 2 after</t>
        </is>
      </c>
      <c r="C26" s="9" t="inlineStr">
        <is>
          <t>Design decision</t>
        </is>
      </c>
      <c r="D26" s="9" t="inlineStr">
        <is>
          <t>M7</t>
        </is>
      </c>
      <c r="E26" s="9" t="inlineStr">
        <is>
          <t>US-150..US-175</t>
        </is>
      </c>
      <c r="F26" s="9" t="inlineStr">
        <is>
          <t>Owner</t>
        </is>
      </c>
      <c r="G26" s="16" t="inlineStr">
        <is>
          <t>Decided</t>
        </is>
      </c>
    </row>
  </sheetData>
  <conditionalFormatting sqref="G5:G19">
    <cfRule type="cellIs" priority="1" operator="equal" dxfId="0">
      <formula>"Open"</formula>
    </cfRule>
    <cfRule type="cellIs" priority="2" operator="equal" dxfId="4">
      <formula>"Proposed"</formula>
    </cfRule>
    <cfRule type="cellIs" priority="3" operator="equal" dxfId="2">
      <formula>"Decided"</formula>
    </cfRule>
    <cfRule type="cellIs" priority="4" operator="equal" dxfId="6">
      <formula>"Planned"</formula>
    </cfRule>
  </conditionalFormatting>
  <dataValidations count="1">
    <dataValidation sqref="G5:G19" showDropDown="0" showInputMessage="0" showErrorMessage="0" allowBlank="0" type="list">
      <formula1>"Open,Proposed,Decided,Planned"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6" customWidth="1" style="20" min="1" max="1"/>
    <col width="30" customWidth="1" style="20" min="2" max="2"/>
    <col width="60" customWidth="1" style="20" min="3" max="3"/>
    <col width="11" customWidth="1" style="20" min="4" max="4"/>
    <col width="9" customWidth="1" style="20" min="5" max="5"/>
    <col width="8" customWidth="1" style="20" min="6" max="6"/>
    <col width="11" customWidth="1" style="20" min="7" max="8"/>
    <col width="8" customWidth="1" style="20" min="9" max="9"/>
    <col width="10" customWidth="1" style="20" min="10" max="10"/>
  </cols>
  <sheetData>
    <row r="1" ht="20.25" customHeight="1" s="20">
      <c r="A1" s="1" t="inlineStr">
        <is>
          <t>Epics</t>
        </is>
      </c>
    </row>
    <row r="2">
      <c r="A2" s="2" t="inlineStr">
        <is>
          <t>Counts, effort and progress are formulas over the User Stories sheet.</t>
        </is>
      </c>
    </row>
    <row r="3"/>
    <row r="4" ht="25.5" customHeight="1" s="20">
      <c r="A4" s="6" t="inlineStr">
        <is>
          <t>ID</t>
        </is>
      </c>
      <c r="B4" s="6" t="inlineStr">
        <is>
          <t>Epic</t>
        </is>
      </c>
      <c r="C4" s="6" t="inlineStr">
        <is>
          <t>Outcome</t>
        </is>
      </c>
      <c r="D4" s="6" t="inlineStr">
        <is>
          <t>Milestone</t>
        </is>
      </c>
      <c r="E4" s="6" t="inlineStr">
        <is>
          <t>Stories</t>
        </is>
      </c>
      <c r="F4" s="6" t="inlineStr">
        <is>
          <t>Must</t>
        </is>
      </c>
      <c r="G4" s="6" t="inlineStr">
        <is>
          <t>Weeks (low)</t>
        </is>
      </c>
      <c r="H4" s="6" t="inlineStr">
        <is>
          <t>Weeks (high)</t>
        </is>
      </c>
      <c r="I4" s="6" t="inlineStr">
        <is>
          <t>Done</t>
        </is>
      </c>
      <c r="J4" s="6" t="inlineStr">
        <is>
          <t>Progress</t>
        </is>
      </c>
    </row>
    <row r="5">
      <c r="A5" s="7" t="inlineStr">
        <is>
          <t>E0</t>
        </is>
      </c>
      <c r="B5" s="9" t="inlineStr">
        <is>
          <t>Foundations</t>
        </is>
      </c>
      <c r="C5" s="9" t="inlineStr">
        <is>
          <t>Every change builds, is tested and is safe to make.</t>
        </is>
      </c>
      <c r="D5" s="9" t="inlineStr">
        <is>
          <t>M0</t>
        </is>
      </c>
      <c r="E5" s="9">
        <f>COUNTIF('User Stories'!$B$5:$B$200,A5)</f>
        <v/>
      </c>
      <c r="F5" s="9">
        <f>COUNTIFS('User Stories'!$B$5:$B$200,A5,'User Stories'!$F$5:$F$200,"Must")</f>
        <v/>
      </c>
      <c r="G5" s="9">
        <f>SUMIF('User Stories'!$B$5:$B$200,A5,'User Stories'!$H$5:$H$200)</f>
        <v/>
      </c>
      <c r="H5" s="9">
        <f>SUMIF('User Stories'!$B$5:$B$200,A5,'User Stories'!$I$5:$I$200)</f>
        <v/>
      </c>
      <c r="I5" s="9">
        <f>COUNTIFS('User Stories'!$B$5:$B$200,A5,'User Stories'!$O$5:$O$200,"Done")</f>
        <v/>
      </c>
      <c r="J5" s="17">
        <f>IFERROR(I5/E5,0)</f>
        <v/>
      </c>
    </row>
    <row r="6" ht="25.5" customHeight="1" s="20">
      <c r="A6" s="7" t="inlineStr">
        <is>
          <t>E1</t>
        </is>
      </c>
      <c r="B6" s="9" t="inlineStr">
        <is>
          <t>Headless clan simulation</t>
        </is>
      </c>
      <c r="C6" s="9" t="inlineStr">
        <is>
          <t>A clan lives, remembers and produces a readable chronicle, with no graphics.</t>
        </is>
      </c>
      <c r="D6" s="9" t="inlineStr">
        <is>
          <t>M2</t>
        </is>
      </c>
      <c r="E6" s="9">
        <f>COUNTIF('User Stories'!$B$5:$B$200,A6)</f>
        <v/>
      </c>
      <c r="F6" s="9">
        <f>COUNTIFS('User Stories'!$B$5:$B$200,A6,'User Stories'!$F$5:$F$200,"Must")</f>
        <v/>
      </c>
      <c r="G6" s="9">
        <f>SUMIF('User Stories'!$B$5:$B$200,A6,'User Stories'!$H$5:$H$200)</f>
        <v/>
      </c>
      <c r="H6" s="9">
        <f>SUMIF('User Stories'!$B$5:$B$200,A6,'User Stories'!$I$5:$I$200)</f>
        <v/>
      </c>
      <c r="I6" s="9">
        <f>COUNTIFS('User Stories'!$B$5:$B$200,A6,'User Stories'!$O$5:$O$200,"Done")</f>
        <v/>
      </c>
      <c r="J6" s="17">
        <f>IFERROR(I6/E6,0)</f>
        <v/>
      </c>
    </row>
    <row r="7">
      <c r="A7" s="7" t="inlineStr">
        <is>
          <t>E2</t>
        </is>
      </c>
      <c r="B7" s="9" t="inlineStr">
        <is>
          <t>Luna engine walking skeleton</t>
        </is>
      </c>
      <c r="C7" s="9" t="inlineStr">
        <is>
          <t>The player sees and controls a character in a window.</t>
        </is>
      </c>
      <c r="D7" s="9" t="inlineStr">
        <is>
          <t>M1</t>
        </is>
      </c>
      <c r="E7" s="9">
        <f>COUNTIF('User Stories'!$B$5:$B$200,A7)</f>
        <v/>
      </c>
      <c r="F7" s="9">
        <f>COUNTIFS('User Stories'!$B$5:$B$200,A7,'User Stories'!$F$5:$F$200,"Must")</f>
        <v/>
      </c>
      <c r="G7" s="9">
        <f>SUMIF('User Stories'!$B$5:$B$200,A7,'User Stories'!$H$5:$H$200)</f>
        <v/>
      </c>
      <c r="H7" s="9">
        <f>SUMIF('User Stories'!$B$5:$B$200,A7,'User Stories'!$I$5:$I$200)</f>
        <v/>
      </c>
      <c r="I7" s="9">
        <f>COUNTIFS('User Stories'!$B$5:$B$200,A7,'User Stories'!$O$5:$O$200,"Done")</f>
        <v/>
      </c>
      <c r="J7" s="17">
        <f>IFERROR(I7/E7,0)</f>
        <v/>
      </c>
    </row>
    <row r="8">
      <c r="A8" s="7" t="inlineStr">
        <is>
          <t>E3</t>
        </is>
      </c>
      <c r="B8" s="9" t="inlineStr">
        <is>
          <t>Characters on screen</t>
        </is>
      </c>
      <c r="C8" s="9" t="inlineStr">
        <is>
          <t>The simulated clan is visible and readable at a glance.</t>
        </is>
      </c>
      <c r="D8" s="9" t="inlineStr">
        <is>
          <t>M3</t>
        </is>
      </c>
      <c r="E8" s="9">
        <f>COUNTIF('User Stories'!$B$5:$B$200,A8)</f>
        <v/>
      </c>
      <c r="F8" s="9">
        <f>COUNTIFS('User Stories'!$B$5:$B$200,A8,'User Stories'!$F$5:$F$200,"Must")</f>
        <v/>
      </c>
      <c r="G8" s="9">
        <f>SUMIF('User Stories'!$B$5:$B$200,A8,'User Stories'!$H$5:$H$200)</f>
        <v/>
      </c>
      <c r="H8" s="9">
        <f>SUMIF('User Stories'!$B$5:$B$200,A8,'User Stories'!$I$5:$I$200)</f>
        <v/>
      </c>
      <c r="I8" s="9">
        <f>COUNTIFS('User Stories'!$B$5:$B$200,A8,'User Stories'!$O$5:$O$200,"Done")</f>
        <v/>
      </c>
      <c r="J8" s="17">
        <f>IFERROR(I8/E8,0)</f>
        <v/>
      </c>
    </row>
    <row r="9">
      <c r="A9" s="7" t="inlineStr">
        <is>
          <t>E4</t>
        </is>
      </c>
      <c r="B9" s="9" t="inlineStr">
        <is>
          <t>Procedural region</t>
        </is>
      </c>
      <c r="C9" s="9" t="inlineStr">
        <is>
          <t>Every new game has a different, believable region to live in.</t>
        </is>
      </c>
      <c r="D9" s="9" t="inlineStr">
        <is>
          <t>M4</t>
        </is>
      </c>
      <c r="E9" s="9">
        <f>COUNTIF('User Stories'!$B$5:$B$200,A9)</f>
        <v/>
      </c>
      <c r="F9" s="9">
        <f>COUNTIFS('User Stories'!$B$5:$B$200,A9,'User Stories'!$F$5:$F$200,"Must")</f>
        <v/>
      </c>
      <c r="G9" s="9">
        <f>SUMIF('User Stories'!$B$5:$B$200,A9,'User Stories'!$H$5:$H$200)</f>
        <v/>
      </c>
      <c r="H9" s="9">
        <f>SUMIF('User Stories'!$B$5:$B$200,A9,'User Stories'!$I$5:$I$200)</f>
        <v/>
      </c>
      <c r="I9" s="9">
        <f>COUNTIFS('User Stories'!$B$5:$B$200,A9,'User Stories'!$O$5:$O$200,"Done")</f>
        <v/>
      </c>
      <c r="J9" s="17">
        <f>IFERROR(I9/E9,0)</f>
        <v/>
      </c>
    </row>
    <row r="10">
      <c r="A10" s="7" t="inlineStr">
        <is>
          <t>E5</t>
        </is>
      </c>
      <c r="B10" s="9" t="inlineStr">
        <is>
          <t>Life and the Growing Period</t>
        </is>
      </c>
      <c r="C10" s="9" t="inlineStr">
        <is>
          <t>The player's choices from 12 to 26 shape who the hero becomes.</t>
        </is>
      </c>
      <c r="D10" s="9" t="inlineStr">
        <is>
          <t>M5</t>
        </is>
      </c>
      <c r="E10" s="9">
        <f>COUNTIF('User Stories'!$B$5:$B$200,A10)</f>
        <v/>
      </c>
      <c r="F10" s="9">
        <f>COUNTIFS('User Stories'!$B$5:$B$200,A10,'User Stories'!$F$5:$F$200,"Must")</f>
        <v/>
      </c>
      <c r="G10" s="9">
        <f>SUMIF('User Stories'!$B$5:$B$200,A10,'User Stories'!$H$5:$H$200)</f>
        <v/>
      </c>
      <c r="H10" s="9">
        <f>SUMIF('User Stories'!$B$5:$B$200,A10,'User Stories'!$I$5:$I$200)</f>
        <v/>
      </c>
      <c r="I10" s="9">
        <f>COUNTIFS('User Stories'!$B$5:$B$200,A10,'User Stories'!$O$5:$O$200,"Done")</f>
        <v/>
      </c>
      <c r="J10" s="17">
        <f>IFERROR(I10/E10,0)</f>
        <v/>
      </c>
    </row>
    <row r="11">
      <c r="A11" s="7" t="inlineStr">
        <is>
          <t>E6</t>
        </is>
      </c>
      <c r="B11" s="9" t="inlineStr">
        <is>
          <t>Professions and interactions</t>
        </is>
      </c>
      <c r="C11" s="9" t="inlineStr">
        <is>
          <t>The player works, crafts and learns a trade in the world.</t>
        </is>
      </c>
      <c r="D11" s="9" t="inlineStr">
        <is>
          <t>M5</t>
        </is>
      </c>
      <c r="E11" s="9">
        <f>COUNTIF('User Stories'!$B$5:$B$200,A11)</f>
        <v/>
      </c>
      <c r="F11" s="9">
        <f>COUNTIFS('User Stories'!$B$5:$B$200,A11,'User Stories'!$F$5:$F$200,"Must")</f>
        <v/>
      </c>
      <c r="G11" s="9">
        <f>SUMIF('User Stories'!$B$5:$B$200,A11,'User Stories'!$H$5:$H$200)</f>
        <v/>
      </c>
      <c r="H11" s="9">
        <f>SUMIF('User Stories'!$B$5:$B$200,A11,'User Stories'!$I$5:$I$200)</f>
        <v/>
      </c>
      <c r="I11" s="9">
        <f>COUNTIFS('User Stories'!$B$5:$B$200,A11,'User Stories'!$O$5:$O$200,"Done")</f>
        <v/>
      </c>
      <c r="J11" s="17">
        <f>IFERROR(I11/E11,0)</f>
        <v/>
      </c>
    </row>
    <row r="12">
      <c r="A12" s="7" t="inlineStr">
        <is>
          <t>E7</t>
        </is>
      </c>
      <c r="B12" s="9" t="inlineStr">
        <is>
          <t>Pillars and regional dominion</t>
        </is>
      </c>
      <c r="C12" s="9" t="inlineStr">
        <is>
          <t>The player can lead the region through Trade or Religion.</t>
        </is>
      </c>
      <c r="D12" s="9" t="inlineStr">
        <is>
          <t>M5</t>
        </is>
      </c>
      <c r="E12" s="9">
        <f>COUNTIF('User Stories'!$B$5:$B$200,A12)</f>
        <v/>
      </c>
      <c r="F12" s="9">
        <f>COUNTIFS('User Stories'!$B$5:$B$200,A12,'User Stories'!$F$5:$F$200,"Must")</f>
        <v/>
      </c>
      <c r="G12" s="9">
        <f>SUMIF('User Stories'!$B$5:$B$200,A12,'User Stories'!$H$5:$H$200)</f>
        <v/>
      </c>
      <c r="H12" s="9">
        <f>SUMIF('User Stories'!$B$5:$B$200,A12,'User Stories'!$I$5:$I$200)</f>
        <v/>
      </c>
      <c r="I12" s="9">
        <f>COUNTIFS('User Stories'!$B$5:$B$200,A12,'User Stories'!$O$5:$O$200,"Done")</f>
        <v/>
      </c>
      <c r="J12" s="17">
        <f>IFERROR(I12/E12,0)</f>
        <v/>
      </c>
    </row>
    <row r="13">
      <c r="A13" s="7" t="inlineStr">
        <is>
          <t>E8</t>
        </is>
      </c>
      <c r="B13" s="9" t="inlineStr">
        <is>
          <t>Saves, settings and quality</t>
        </is>
      </c>
      <c r="C13" s="9" t="inlineStr">
        <is>
          <t>The game is stable, fast, and never loses progress.</t>
        </is>
      </c>
      <c r="D13" s="9" t="inlineStr">
        <is>
          <t>M4-M5</t>
        </is>
      </c>
      <c r="E13" s="9">
        <f>COUNTIF('User Stories'!$B$5:$B$200,A13)</f>
        <v/>
      </c>
      <c r="F13" s="9">
        <f>COUNTIFS('User Stories'!$B$5:$B$200,A13,'User Stories'!$F$5:$F$200,"Must")</f>
        <v/>
      </c>
      <c r="G13" s="9">
        <f>SUMIF('User Stories'!$B$5:$B$200,A13,'User Stories'!$H$5:$H$200)</f>
        <v/>
      </c>
      <c r="H13" s="9">
        <f>SUMIF('User Stories'!$B$5:$B$200,A13,'User Stories'!$I$5:$I$200)</f>
        <v/>
      </c>
      <c r="I13" s="9">
        <f>COUNTIFS('User Stories'!$B$5:$B$200,A13,'User Stories'!$O$5:$O$200,"Done")</f>
        <v/>
      </c>
      <c r="J13" s="17">
        <f>IFERROR(I13/E13,0)</f>
        <v/>
      </c>
    </row>
    <row r="14">
      <c r="A14" s="7" t="inlineStr">
        <is>
          <t>E9</t>
        </is>
      </c>
      <c r="B14" s="9" t="inlineStr">
        <is>
          <t>Playtest readiness</t>
        </is>
      </c>
      <c r="C14" s="9" t="inlineStr">
        <is>
          <t>Outside players can install, learn and play the slice.</t>
        </is>
      </c>
      <c r="D14" s="9" t="inlineStr">
        <is>
          <t>M6</t>
        </is>
      </c>
      <c r="E14" s="9">
        <f>COUNTIF('User Stories'!$B$5:$B$200,A14)</f>
        <v/>
      </c>
      <c r="F14" s="9">
        <f>COUNTIFS('User Stories'!$B$5:$B$200,A14,'User Stories'!$F$5:$F$200,"Must")</f>
        <v/>
      </c>
      <c r="G14" s="9">
        <f>SUMIF('User Stories'!$B$5:$B$200,A14,'User Stories'!$H$5:$H$200)</f>
        <v/>
      </c>
      <c r="H14" s="9">
        <f>SUMIF('User Stories'!$B$5:$B$200,A14,'User Stories'!$I$5:$I$200)</f>
        <v/>
      </c>
      <c r="I14" s="9">
        <f>COUNTIFS('User Stories'!$B$5:$B$200,A14,'User Stories'!$O$5:$O$200,"Done")</f>
        <v/>
      </c>
      <c r="J14" s="17">
        <f>IFERROR(I14/E14,0)</f>
        <v/>
      </c>
    </row>
    <row r="15" ht="25.5" customHeight="1" s="20">
      <c r="A15" s="7" t="inlineStr">
        <is>
          <t>E10</t>
        </is>
      </c>
      <c r="B15" s="9" t="inlineStr">
        <is>
          <t>Luna physics</t>
        </is>
      </c>
      <c r="C15" s="9" t="inlineStr">
        <is>
          <t>Luna simulates hits, throws and bodies with deterministic 3D physics.</t>
        </is>
      </c>
      <c r="D15" s="9" t="inlineStr">
        <is>
          <t>M1b</t>
        </is>
      </c>
      <c r="E15" s="9">
        <f>COUNTIF('User Stories'!$B$5:$B$200,A15)</f>
        <v/>
      </c>
      <c r="F15" s="9">
        <f>COUNTIFS('User Stories'!$B$5:$B$200,A15,'User Stories'!$F$5:$F$200,"Must")</f>
        <v/>
      </c>
      <c r="G15" s="9">
        <f>SUMIF('User Stories'!$B$5:$B$200,A15,'User Stories'!$H$5:$H$200)</f>
        <v/>
      </c>
      <c r="H15" s="9">
        <f>SUMIF('User Stories'!$B$5:$B$200,A15,'User Stories'!$I$5:$I$200)</f>
        <v/>
      </c>
      <c r="I15" s="9">
        <f>COUNTIFS('User Stories'!$B$5:$B$200,A15,'User Stories'!$O$5:$O$200,"Done")</f>
        <v/>
      </c>
      <c r="J15" s="17">
        <f>IFERROR(I15/E15,0)</f>
        <v/>
      </c>
    </row>
    <row r="16" ht="25.5" customHeight="1" s="20">
      <c r="A16" s="7" t="inlineStr">
        <is>
          <t>E11</t>
        </is>
      </c>
      <c r="B16" s="9" t="inlineStr">
        <is>
          <t>Story engine</t>
        </is>
      </c>
      <c r="C16" s="9" t="inlineStr">
        <is>
          <t>The clan's life becomes a readable story: episodes with causes, people and consequences.</t>
        </is>
      </c>
      <c r="D16" s="9" t="inlineStr">
        <is>
          <t>M2b</t>
        </is>
      </c>
      <c r="E16" s="9">
        <f>COUNTIF('User Stories'!$B$5:$B$200,A16)</f>
        <v/>
      </c>
      <c r="F16" s="9">
        <f>COUNTIFS('User Stories'!$B$5:$B$200,A16,'User Stories'!$F$5:$F$200,"Must")</f>
        <v/>
      </c>
      <c r="G16" s="9">
        <f>SUMIF('User Stories'!$B$5:$B$200,A16,'User Stories'!$H$5:$H$200)</f>
        <v/>
      </c>
      <c r="H16" s="9">
        <f>SUMIF('User Stories'!$B$5:$B$200,A16,'User Stories'!$I$5:$I$200)</f>
        <v/>
      </c>
      <c r="I16" s="9">
        <f>COUNTIFS('User Stories'!$B$5:$B$200,A16,'User Stories'!$O$5:$O$200,"Done")</f>
        <v/>
      </c>
      <c r="J16" s="17">
        <f>IFERROR(I16/E16,0)</f>
        <v/>
      </c>
    </row>
    <row r="17" ht="25.5" customHeight="1" s="20">
      <c r="A17" s="7" t="inlineStr">
        <is>
          <t>E12</t>
        </is>
      </c>
      <c r="B17" s="9" t="inlineStr">
        <is>
          <t>Level editor</t>
        </is>
      </c>
      <c r="C17" s="9" t="inlineStr">
        <is>
          <t>The owner builds levels by hand (ground tiles, characters and settings) and plays them at once.</t>
        </is>
      </c>
      <c r="D17" s="9" t="inlineStr">
        <is>
          <t>M2c</t>
        </is>
      </c>
      <c r="E17" s="9">
        <f>COUNTIF('User Stories'!$B$5:$B$200,A17)</f>
        <v/>
      </c>
      <c r="F17" s="9">
        <f>COUNTIFS('User Stories'!$B$5:$B$200,A17,'User Stories'!$F$5:$F$200,"Must")</f>
        <v/>
      </c>
      <c r="G17" s="9">
        <f>SUMIF('User Stories'!$B$5:$B$200,A17,'User Stories'!$H$5:$H$200)</f>
        <v/>
      </c>
      <c r="H17" s="9">
        <f>SUMIF('User Stories'!$B$5:$B$200,A17,'User Stories'!$I$5:$I$200)</f>
        <v/>
      </c>
      <c r="I17" s="9">
        <f>COUNTIFS('User Stories'!$B$5:$B$200,A17,'User Stories'!$O$5:$O$200,"Done")</f>
        <v/>
      </c>
      <c r="J17" s="17">
        <f>IFERROR(I17/E17,0)</f>
        <v/>
      </c>
    </row>
    <row r="18" ht="25.5" customHeight="1" s="20">
      <c r="A18" s="7" t="inlineStr">
        <is>
          <t>E13</t>
        </is>
      </c>
      <c r="B18" s="9" t="inlineStr">
        <is>
          <t>Content and combat</t>
        </is>
      </c>
      <c r="C18" s="9" t="inlineStr">
        <is>
          <t>The owner's weapons, plants, animals, effects and weather are in the game and playable.</t>
        </is>
      </c>
      <c r="D18" s="9" t="inlineStr">
        <is>
          <t>M2d</t>
        </is>
      </c>
      <c r="E18" s="9">
        <f>COUNTIF('User Stories'!$B$5:$B$200,A18)</f>
        <v/>
      </c>
      <c r="F18" s="9">
        <f>COUNTIFS('User Stories'!$B$5:$B$200,A18,'User Stories'!$F$5:$F$200,"Must")</f>
        <v/>
      </c>
      <c r="G18" s="9">
        <f>SUMIF('User Stories'!$B$5:$B$200,A18,'User Stories'!$H$5:$H$200)</f>
        <v/>
      </c>
      <c r="H18" s="9">
        <f>SUMIF('User Stories'!$B$5:$B$200,A18,'User Stories'!$I$5:$I$200)</f>
        <v/>
      </c>
      <c r="I18" s="9">
        <f>COUNTIFS('User Stories'!$B$5:$B$200,A18,'User Stories'!$O$5:$O$200,"Done")</f>
        <v/>
      </c>
      <c r="J18" s="17">
        <f>IFERROR(I18/E18,0)</f>
        <v/>
      </c>
    </row>
    <row r="19" ht="25.5" customHeight="1" s="20">
      <c r="A19" s="7" t="inlineStr">
        <is>
          <t>E14</t>
        </is>
      </c>
      <c r="B19" s="9" t="inlineStr">
        <is>
          <t>World interactions</t>
        </is>
      </c>
      <c r="C19" s="9" t="inlineStr">
        <is>
          <t>Every thing in the world offers actions from data; the player, NPCs and animals act on things with timed, visible, saved results.</t>
        </is>
      </c>
      <c r="D19" s="9" t="inlineStr">
        <is>
          <t>M7</t>
        </is>
      </c>
      <c r="E19" s="9">
        <f>COUNTIF('User Stories'!$B$5:$B$200,A19)</f>
        <v/>
      </c>
      <c r="F19" s="9">
        <f>COUNTIFS('User Stories'!$B$5:$B$200,A19,'User Stories'!$F$5:$F$200,"Must")</f>
        <v/>
      </c>
      <c r="G19" s="9">
        <f>SUMIF('User Stories'!$B$5:$B$200,A19,'User Stories'!$H$5:$H$200)</f>
        <v/>
      </c>
      <c r="H19" s="9">
        <f>SUMIF('User Stories'!$B$5:$B$200,A19,'User Stories'!$I$5:$I$200)</f>
        <v/>
      </c>
      <c r="I19" s="9">
        <f>COUNTIFS('User Stories'!$B$5:$B$200,A19,'User Stories'!$O$5:$O$200,"Done")</f>
        <v/>
      </c>
      <c r="J19" s="17">
        <f>IFERROR(I19/E19,0)</f>
        <v/>
      </c>
    </row>
    <row r="20" ht="25.5" customHeight="1" s="20">
      <c r="A20" s="7" t="inlineStr">
        <is>
          <t>E15</t>
        </is>
      </c>
      <c r="B20" s="9" t="inlineStr">
        <is>
          <t>Speak to NPCs</t>
        </is>
      </c>
      <c r="C20" s="9" t="inlineStr">
        <is>
          <t>The player talks to any clan member; written and generated conversations read the simulation and change it; NPCs talk to each other.</t>
        </is>
      </c>
      <c r="D20" s="9" t="inlineStr">
        <is>
          <t>M8</t>
        </is>
      </c>
      <c r="E20" s="9">
        <f>COUNTIF('User Stories'!$B$5:$B$200,A20)</f>
        <v/>
      </c>
      <c r="F20" s="9">
        <f>COUNTIFS('User Stories'!$B$5:$B$200,A20,'User Stories'!$F$5:$F$200,"Must")</f>
        <v/>
      </c>
      <c r="G20" s="9">
        <f>SUMIF('User Stories'!$B$5:$B$200,A20,'User Stories'!$H$5:$H$200)</f>
        <v/>
      </c>
      <c r="H20" s="9">
        <f>SUMIF('User Stories'!$B$5:$B$200,A20,'User Stories'!$I$5:$I$200)</f>
        <v/>
      </c>
      <c r="I20" s="9">
        <f>COUNTIFS('User Stories'!$B$5:$B$200,A20,'User Stories'!$O$5:$O$200,"Done")</f>
        <v/>
      </c>
      <c r="J20" s="17">
        <f>IFERROR(I20/E20,0)</f>
        <v/>
      </c>
    </row>
    <row r="21" ht="25.5" customHeight="1" s="20">
      <c r="A21" s="7" t="inlineStr">
        <is>
          <t>E16</t>
        </is>
      </c>
      <c r="B21" s="9" t="inlineStr">
        <is>
          <t>Interaction and dialogue editor</t>
        </is>
      </c>
      <c r="C21" s="9" t="inlineStr">
        <is>
          <t>The owner edits every conversation and interaction as a graph in the Editor, test-plays it and saves readable files.</t>
        </is>
      </c>
      <c r="D21" s="9" t="inlineStr">
        <is>
          <t>M9</t>
        </is>
      </c>
      <c r="E21" s="9">
        <f>COUNTIF('User Stories'!$B$5:$B$200,A21)</f>
        <v/>
      </c>
      <c r="F21" s="9">
        <f>COUNTIFS('User Stories'!$B$5:$B$200,A21,'User Stories'!$F$5:$F$200,"Must")</f>
        <v/>
      </c>
      <c r="G21" s="9">
        <f>SUMIF('User Stories'!$B$5:$B$200,A21,'User Stories'!$H$5:$H$200)</f>
        <v/>
      </c>
      <c r="H21" s="9">
        <f>SUMIF('User Stories'!$B$5:$B$200,A21,'User Stories'!$I$5:$I$200)</f>
        <v/>
      </c>
      <c r="I21" s="9">
        <f>COUNTIFS('User Stories'!$B$5:$B$200,A21,'User Stories'!$O$5:$O$200,"Done")</f>
        <v/>
      </c>
      <c r="J21" s="17">
        <f>IFERROR(I21/E21,0)</f>
        <v/>
      </c>
    </row>
    <row r="22">
      <c r="A22" s="7" t="n"/>
      <c r="B22" s="7" t="inlineStr">
        <is>
          <t>Total</t>
        </is>
      </c>
      <c r="C22" s="7" t="n"/>
      <c r="D22" s="7" t="n"/>
      <c r="E22" s="7">
        <f>SUM(E5:E21)</f>
        <v/>
      </c>
      <c r="F22" s="7">
        <f>SUM(F5:F21)</f>
        <v/>
      </c>
      <c r="G22" s="7">
        <f>SUM(G5:G21)</f>
        <v/>
      </c>
      <c r="H22" s="7">
        <f>SUM(H5:H21)</f>
        <v/>
      </c>
      <c r="I22" s="7">
        <f>SUM(I5:I21)</f>
        <v/>
      </c>
      <c r="J22" s="18">
        <f>IFERROR(I22/E22,0)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7"/>
  <sheetViews>
    <sheetView workbookViewId="0">
      <pane xSplit="3" ySplit="4" topLeftCell="D64" activePane="bottomRight" state="frozen"/>
      <selection pane="topRight" activeCell="A1" sqref="A1"/>
      <selection pane="bottomLeft" activeCell="A1" sqref="A1"/>
      <selection pane="bottomRight" activeCell="A67" sqref="A67:XFD75"/>
    </sheetView>
  </sheetViews>
  <sheetFormatPr baseColWidth="8" defaultRowHeight="15"/>
  <cols>
    <col width="9" customWidth="1" style="20" min="1" max="1"/>
    <col width="6" customWidth="1" style="20" min="2" max="2"/>
    <col width="28" customWidth="1" style="20" min="3" max="3"/>
    <col width="44" customWidth="1" style="20" min="4" max="4"/>
    <col width="70" customWidth="1" style="20" min="5" max="5"/>
    <col width="9" customWidth="1" style="20" min="6" max="6"/>
    <col width="6" customWidth="1" style="20" min="7" max="7"/>
    <col width="8" customWidth="1" style="20" min="8" max="9"/>
    <col width="10" customWidth="1" style="20" min="10" max="10"/>
    <col width="18" customWidth="1" style="20" min="11" max="11"/>
    <col width="22" customWidth="1" style="20" min="12" max="12"/>
    <col width="28" customWidth="1" style="20" min="13" max="13"/>
    <col width="22" customWidth="1" style="20" min="14" max="14"/>
    <col width="12" customWidth="1" style="20" min="15" max="15"/>
  </cols>
  <sheetData>
    <row r="1" ht="20.25" customHeight="1" s="20">
      <c r="A1" s="1" t="inlineStr">
        <is>
          <t>User stories with acceptance criteria</t>
        </is>
      </c>
    </row>
    <row r="2">
      <c r="A2" s="2" t="inlineStr">
        <is>
          <t>Yellow Status column is yours. Weeks come from the size table on Read Me. Gherkin: Given (context), When (action), Then (observable result).</t>
        </is>
      </c>
    </row>
    <row r="3"/>
    <row r="4" ht="25.5" customHeight="1" s="20">
      <c r="A4" s="6" t="inlineStr">
        <is>
          <t>ID</t>
        </is>
      </c>
      <c r="B4" s="6" t="inlineStr">
        <is>
          <t>Epic</t>
        </is>
      </c>
      <c r="C4" s="6" t="inlineStr">
        <is>
          <t>Title</t>
        </is>
      </c>
      <c r="D4" s="6" t="inlineStr">
        <is>
          <t>User story</t>
        </is>
      </c>
      <c r="E4" s="6" t="inlineStr">
        <is>
          <t>Acceptance criteria</t>
        </is>
      </c>
      <c r="F4" s="6" t="inlineStr">
        <is>
          <t>Priority</t>
        </is>
      </c>
      <c r="G4" s="6" t="inlineStr">
        <is>
          <t>Size</t>
        </is>
      </c>
      <c r="H4" s="6" t="inlineStr">
        <is>
          <t>Weeks (low)</t>
        </is>
      </c>
      <c r="I4" s="6" t="inlineStr">
        <is>
          <t>Weeks (high)</t>
        </is>
      </c>
      <c r="J4" s="6" t="inlineStr">
        <is>
          <t>Milestone</t>
        </is>
      </c>
      <c r="K4" s="6" t="inlineStr">
        <is>
          <t>Depends on</t>
        </is>
      </c>
      <c r="L4" s="6" t="inlineStr">
        <is>
          <t>Traces to</t>
        </is>
      </c>
      <c r="M4" s="6" t="inlineStr">
        <is>
          <t>C++ you will learn</t>
        </is>
      </c>
      <c r="N4" s="6" t="inlineStr">
        <is>
          <t>Notes</t>
        </is>
      </c>
      <c r="O4" s="6" t="inlineStr">
        <is>
          <t>Status</t>
        </is>
      </c>
    </row>
    <row r="5" ht="186.4" customHeight="1" s="20">
      <c r="A5" s="7" t="inlineStr">
        <is>
          <t>US-001</t>
        </is>
      </c>
      <c r="B5" s="9" t="inlineStr">
        <is>
          <t>E0</t>
        </is>
      </c>
      <c r="C5" s="9" t="inlineStr">
        <is>
          <t>Build and debug from a clean checkout</t>
        </is>
      </c>
      <c r="D5" s="9" t="inlineStr">
        <is>
          <t>As a developer, I want to clone the repository and build every target with one CMake preset, so that I can start working in minutes and never fight the build.</t>
        </is>
      </c>
      <c r="E5" s="9" t="inlineStr">
        <is>
          <t>Scenario: Clean build
  Given a fresh clone and the installed toolchain
  When I run the windows-x64-debug preset and build
  Then odysseus.exe, odysseus_headless.exe and odysseus_tests.exe are produced with zero warnings
Scenario: Debugging
  Given the Debug build
  When I set a breakpoint in main() and start debugging in Visual Studio
  Then execution pauses at the breakpoint and I can inspect variables
Scenario: Missing dependency
  Given a library missing from vcpkg.json
  When I build
  Then CMake fails with a message naming the missing library</t>
        </is>
      </c>
      <c r="F5" s="9" t="inlineStr">
        <is>
          <t>Must</t>
        </is>
      </c>
      <c r="G5" s="9" t="inlineStr">
        <is>
          <t>S</t>
        </is>
      </c>
      <c r="H5" s="9">
        <f>VLOOKUP(G5,'Read Me'!$A$13:$C$15,2,FALSE)</f>
        <v/>
      </c>
      <c r="I5" s="9">
        <f>VLOOKUP(G5,'Read Me'!$A$13:$C$15,3,FALSE)</f>
        <v/>
      </c>
      <c r="J5" s="9" t="inlineStr">
        <is>
          <t>M0</t>
        </is>
      </c>
      <c r="K5" s="9" t="inlineStr">
        <is>
          <t>D-12</t>
        </is>
      </c>
      <c r="L5" s="9" t="inlineStr">
        <is>
          <t>ADR-001, ADR-012, TEC-04</t>
        </is>
      </c>
      <c r="M5" s="9" t="inlineStr">
        <is>
          <t>What compiler, linker and build system each do; CMake presets</t>
        </is>
      </c>
      <c r="N5" s="9" t="n"/>
      <c r="O5" s="16" t="inlineStr">
        <is>
          <t>Done</t>
        </is>
      </c>
    </row>
    <row r="6" ht="124.15" customHeight="1" s="20">
      <c r="A6" s="7" t="inlineStr">
        <is>
          <t>US-002</t>
        </is>
      </c>
      <c r="B6" s="9" t="inlineStr">
        <is>
          <t>E0</t>
        </is>
      </c>
      <c r="C6" s="9" t="inlineStr">
        <is>
          <t>Run the build and tests on every push</t>
        </is>
      </c>
      <c r="D6" s="9" t="inlineStr">
        <is>
          <t>As a developer, I want GitHub Actions to build and test every push on a Windows runner, so that mistakes are caught automatically, even when I forget to run tests.</t>
        </is>
      </c>
      <c r="E6" s="9" t="inlineStr">
        <is>
          <t>Scenario: Green push
  Given a commit that builds and passes tests
  When I push to GitHub
  Then the CI run succeeds within 15 minutes
Scenario: Broken test
  Given a commit with a failing test
  When I push
  Then the CI run fails and names the failing test</t>
        </is>
      </c>
      <c r="F6" s="9" t="inlineStr">
        <is>
          <t>Must</t>
        </is>
      </c>
      <c r="G6" s="9" t="inlineStr">
        <is>
          <t>S</t>
        </is>
      </c>
      <c r="H6" s="9">
        <f>VLOOKUP(G6,'Read Me'!$A$13:$C$15,2,FALSE)</f>
        <v/>
      </c>
      <c r="I6" s="9">
        <f>VLOOKUP(G6,'Read Me'!$A$13:$C$15,3,FALSE)</f>
        <v/>
      </c>
      <c r="J6" s="9" t="inlineStr">
        <is>
          <t>M0</t>
        </is>
      </c>
      <c r="K6" s="9" t="inlineStr">
        <is>
          <t>US-001, D-12</t>
        </is>
      </c>
      <c r="L6" s="9" t="inlineStr">
        <is>
          <t>ADR-014</t>
        </is>
      </c>
      <c r="M6" s="9" t="inlineStr">
        <is>
          <t>Git basics: commit, branch, push</t>
        </is>
      </c>
      <c r="N6" s="9" t="n"/>
      <c r="O6" s="16" t="inlineStr">
        <is>
          <t>Done</t>
        </is>
      </c>
    </row>
    <row r="7" ht="124.15" customHeight="1" s="20">
      <c r="A7" s="7" t="inlineStr">
        <is>
          <t>US-003</t>
        </is>
      </c>
      <c r="B7" s="9" t="inlineStr">
        <is>
          <t>E0</t>
        </is>
      </c>
      <c r="C7" s="9" t="inlineStr">
        <is>
          <t>Enforce the layer rules in the build</t>
        </is>
      </c>
      <c r="D7" s="9" t="inlineStr">
        <is>
          <t>As a developer, I want the build to reject code that breaks the five-layer rule or pulls game code into Luna, so that the architecture cannot rot by accident.</t>
        </is>
      </c>
      <c r="E7" s="9" t="inlineStr">
        <is>
          <t>Scenario: Allowed use
  Given Game code that includes an Engine header
  When I build
  Then the build succeeds
Scenario: Forbidden use
  Given Simulation code that includes an Engine or SDL3 header
  When I build
  Then the build fails with an include error
Scenario: Luna stays game-agnostic
  Given Luna code that includes a Simulation or Game header
  When I build
  Then the build fails with an include error</t>
        </is>
      </c>
      <c r="F7" s="9" t="inlineStr">
        <is>
          <t>Must</t>
        </is>
      </c>
      <c r="G7" s="9" t="inlineStr">
        <is>
          <t>S</t>
        </is>
      </c>
      <c r="H7" s="9">
        <f>VLOOKUP(G7,'Read Me'!$A$13:$C$15,2,FALSE)</f>
        <v/>
      </c>
      <c r="I7" s="9">
        <f>VLOOKUP(G7,'Read Me'!$A$13:$C$15,3,FALSE)</f>
        <v/>
      </c>
      <c r="J7" s="9" t="inlineStr">
        <is>
          <t>M0</t>
        </is>
      </c>
      <c r="K7" s="9" t="inlineStr">
        <is>
          <t>US-001</t>
        </is>
      </c>
      <c r="L7" s="9" t="inlineStr">
        <is>
          <t>ARC-01, ARC-02, ARC-09, ADR-004</t>
        </is>
      </c>
      <c r="M7" s="9" t="inlineStr">
        <is>
          <t>CMake targets and target_link_libraries</t>
        </is>
      </c>
      <c r="N7" s="9" t="n"/>
      <c r="O7" s="16" t="inlineStr">
        <is>
          <t>Done</t>
        </is>
      </c>
    </row>
    <row r="8" ht="186.4" customHeight="1" s="20">
      <c r="A8" s="7" t="inlineStr">
        <is>
          <t>US-004</t>
        </is>
      </c>
      <c r="B8" s="9" t="inlineStr">
        <is>
          <t>E0</t>
        </is>
      </c>
      <c r="C8" s="9" t="inlineStr">
        <is>
          <t>Log what happens and stop on broken assumptions</t>
        </is>
      </c>
      <c r="D8" s="9" t="inlineStr">
        <is>
          <t>As a developer, I want a logging system and asserts in Core, so that I can see what the game did before a problem.</t>
        </is>
      </c>
      <c r="E8" s="9" t="inlineStr">
        <is>
          <t>Scenario: Log file
  Given the game has run
  When I open the per-user logs folder
  Then a log file for the session exists with timestamped lines
Scenario: Rotation
  Given six sessions have run
  When I open the logs folder
  Then only the last five session logs are kept
Scenario: Assert
  Given a Debug build and an assert whose condition is false
  When that line runs
  Then the debugger stops there and the log records file and line</t>
        </is>
      </c>
      <c r="F8" s="9" t="inlineStr">
        <is>
          <t>Must</t>
        </is>
      </c>
      <c r="G8" s="9" t="inlineStr">
        <is>
          <t>S</t>
        </is>
      </c>
      <c r="H8" s="9">
        <f>VLOOKUP(G8,'Read Me'!$A$13:$C$15,2,FALSE)</f>
        <v/>
      </c>
      <c r="I8" s="9">
        <f>VLOOKUP(G8,'Read Me'!$A$13:$C$15,3,FALSE)</f>
        <v/>
      </c>
      <c r="J8" s="9" t="inlineStr">
        <is>
          <t>M0</t>
        </is>
      </c>
      <c r="K8" s="9" t="inlineStr">
        <is>
          <t>US-001</t>
        </is>
      </c>
      <c r="L8" s="9" t="inlineStr">
        <is>
          <t>Architecture 7.8</t>
        </is>
      </c>
      <c r="M8" s="9" t="inlineStr">
        <is>
          <t>Header/source files, namespaces, macros</t>
        </is>
      </c>
      <c r="N8" s="9" t="n"/>
      <c r="O8" s="16" t="inlineStr">
        <is>
          <t>Done</t>
        </is>
      </c>
    </row>
    <row r="9" ht="186.4" customHeight="1" s="20">
      <c r="A9" s="7" t="inlineStr">
        <is>
          <t>US-010</t>
        </is>
      </c>
      <c r="B9" s="9" t="inlineStr">
        <is>
          <t>E1</t>
        </is>
      </c>
      <c r="C9" s="9" t="inlineStr">
        <is>
          <t>Advance a seeded world clock</t>
        </is>
      </c>
      <c r="D9" s="9" t="inlineStr">
        <is>
          <t>As a developer, I want the simulation to tick 20 times per second of game time with a calendar of days and seasons, so that everything in the world happens on one reliable clock.</t>
        </is>
      </c>
      <c r="E9" s="9" t="inlineStr">
        <is>
          <t>Scenario: Calendar
  Given a new simulation with seed 42
  When it runs for one in-game year
  Then the calendar has passed through four seasons and the day counter matches the configured year length
Scenario: Determinism
  Given two runs with seed 42 and the same inputs
  When each runs 10,000 ticks
  Then both produce the same world hash
Scenario: Speed control
  Given the simulation at speed 4x
  When one real second passes
  Then 4 seconds of game time have advanced</t>
        </is>
      </c>
      <c r="F9" s="9" t="inlineStr">
        <is>
          <t>Must</t>
        </is>
      </c>
      <c r="G9" s="9" t="inlineStr">
        <is>
          <t>M</t>
        </is>
      </c>
      <c r="H9" s="9">
        <f>VLOOKUP(G9,'Read Me'!$A$13:$C$15,2,FALSE)</f>
        <v/>
      </c>
      <c r="I9" s="9">
        <f>VLOOKUP(G9,'Read Me'!$A$13:$C$15,3,FALSE)</f>
        <v/>
      </c>
      <c r="J9" s="9" t="inlineStr">
        <is>
          <t>M2</t>
        </is>
      </c>
      <c r="K9" s="9" t="inlineStr">
        <is>
          <t>D-01</t>
        </is>
      </c>
      <c r="L9" s="9" t="inlineStr">
        <is>
          <t>ADR-006, ADR-011, ARC-07, MVP-12</t>
        </is>
      </c>
      <c r="M9" s="9" t="inlineStr">
        <is>
          <t>The game loop and accumulator; integers vs floats</t>
        </is>
      </c>
      <c r="N9" s="9" t="n"/>
      <c r="O9" s="16" t="inlineStr">
        <is>
          <t>Done</t>
        </is>
      </c>
    </row>
    <row r="10" ht="186.4" customHeight="1" s="20">
      <c r="A10" s="7" t="inlineStr">
        <is>
          <t>US-011</t>
        </is>
      </c>
      <c r="B10" s="9" t="inlineStr">
        <is>
          <t>E1</t>
        </is>
      </c>
      <c r="C10" s="9" t="inlineStr">
        <is>
          <t>Give every person needs that change over time</t>
        </is>
      </c>
      <c r="D10" s="9" t="inlineStr">
        <is>
          <t>As a player, I want clan members to get hungry, tired, cold and lonely, so that the world feels alive and people have reasons to act.</t>
        </is>
      </c>
      <c r="E10" s="9" t="inlineStr">
        <is>
          <t>Scenario: Decay
  Given a person with full needs
  When one in-game day passes without eating, sleeping, warmth or company
  Then each need has dropped by its configured daily rate
Scenario: Satisfaction
  Given a hungry person
  When they eat a meal
  Then Hunger rises by the meal's value, capped at the maximum
Scenario: Consequence
  Given a person whose Hunger stays at zero for the configured number of days
  When the next day starts
  Then they die and the chronicle records the cause</t>
        </is>
      </c>
      <c r="F10" s="9" t="inlineStr">
        <is>
          <t>Must</t>
        </is>
      </c>
      <c r="G10" s="9" t="inlineStr">
        <is>
          <t>M</t>
        </is>
      </c>
      <c r="H10" s="9">
        <f>VLOOKUP(G10,'Read Me'!$A$13:$C$15,2,FALSE)</f>
        <v/>
      </c>
      <c r="I10" s="9">
        <f>VLOOKUP(G10,'Read Me'!$A$13:$C$15,3,FALSE)</f>
        <v/>
      </c>
      <c r="J10" s="9" t="inlineStr">
        <is>
          <t>M2</t>
        </is>
      </c>
      <c r="K10" s="9" t="inlineStr">
        <is>
          <t>D-02, D-03</t>
        </is>
      </c>
      <c r="L10" s="9" t="inlineStr">
        <is>
          <t>SDC-01 (candidate), Overview v0.1</t>
        </is>
      </c>
      <c r="M10" s="9" t="inlineStr">
        <is>
          <t>Plain structs as components; std::vector</t>
        </is>
      </c>
      <c r="N10" s="9" t="inlineStr">
        <is>
          <t>Needs set is an assumption until D-03 is confirmed.</t>
        </is>
      </c>
      <c r="O10" s="16" t="inlineStr">
        <is>
          <t>Done</t>
        </is>
      </c>
    </row>
    <row r="11" ht="186.4" customHeight="1" s="20">
      <c r="A11" s="7" t="inlineStr">
        <is>
          <t>US-012</t>
        </is>
      </c>
      <c r="B11" s="9" t="inlineStr">
        <is>
          <t>E1</t>
        </is>
      </c>
      <c r="C11" s="9" t="inlineStr">
        <is>
          <t>Let people choose what to do (utility AI)</t>
        </is>
      </c>
      <c r="D11" s="9" t="inlineStr">
        <is>
          <t>As a player, I want each clan member to pick sensible actions based on their needs and skills, so that the clan survives without me micromanaging it.</t>
        </is>
      </c>
      <c r="E11" s="9" t="inlineStr">
        <is>
          <t>Scenario: Pick best action
  Given a person who is very hungry and slightly tired
  When the AI evaluates available actions
  Then a food action (gather or hunt) scores highest and is chosen
Scenario: No option
  Given a person with no reachable action that satisfies a need
  When the AI evaluates
  Then they wander or rest instead of freezing, and no error occurs
Scenario: Inspectable
  Given any person
  When I print their last decision in the headless runner
  Then I see every action's score and the chosen one</t>
        </is>
      </c>
      <c r="F11" s="9" t="inlineStr">
        <is>
          <t>Must</t>
        </is>
      </c>
      <c r="G11" s="9" t="inlineStr">
        <is>
          <t>L</t>
        </is>
      </c>
      <c r="H11" s="9">
        <f>VLOOKUP(G11,'Read Me'!$A$13:$C$15,2,FALSE)</f>
        <v/>
      </c>
      <c r="I11" s="9">
        <f>VLOOKUP(G11,'Read Me'!$A$13:$C$15,3,FALSE)</f>
        <v/>
      </c>
      <c r="J11" s="9" t="inlineStr">
        <is>
          <t>M2</t>
        </is>
      </c>
      <c r="K11" s="9" t="inlineStr">
        <is>
          <t>US-011, D-02</t>
        </is>
      </c>
      <c r="L11" s="9" t="inlineStr">
        <is>
          <t>SDC-01 (candidate utility AI)</t>
        </is>
      </c>
      <c r="M11" s="9" t="inlineStr">
        <is>
          <t>Functions as systems; enums; sorting</t>
        </is>
      </c>
      <c r="N11" s="9" t="n"/>
      <c r="O11" s="16" t="inlineStr">
        <is>
          <t>Done</t>
        </is>
      </c>
    </row>
    <row r="12" ht="186.4" customHeight="1" s="20">
      <c r="A12" s="7" t="inlineStr">
        <is>
          <t>US-013</t>
        </is>
      </c>
      <c r="B12" s="9" t="inlineStr">
        <is>
          <t>E1</t>
        </is>
      </c>
      <c r="C12" s="9" t="inlineStr">
        <is>
          <t>Remember events and spread gossip</t>
        </is>
      </c>
      <c r="D12" s="9" t="inlineStr">
        <is>
          <t>As a player, I want people to remember important events and tell others, so that reputations form and stories travel through the clan.</t>
        </is>
      </c>
      <c r="E12" s="9" t="inlineStr">
        <is>
          <t>Scenario: Memory
  Given a person who is given a gift
  When the event happens
  Then they store a memory with who, what, when and a feeling
Scenario: Gossip
  Given two people who talk
  When one has a memory the other lacks
  Then the listener may gain a slightly weaker copy of that memory
Scenario: Forgetting
  Given a minor memory older than its lifetime
  When the day ends
  Then it is forgotten; important memories are kept</t>
        </is>
      </c>
      <c r="F12" s="9" t="inlineStr">
        <is>
          <t>Must</t>
        </is>
      </c>
      <c r="G12" s="9" t="inlineStr">
        <is>
          <t>M</t>
        </is>
      </c>
      <c r="H12" s="9">
        <f>VLOOKUP(G12,'Read Me'!$A$13:$C$15,2,FALSE)</f>
        <v/>
      </c>
      <c r="I12" s="9">
        <f>VLOOKUP(G12,'Read Me'!$A$13:$C$15,3,FALSE)</f>
        <v/>
      </c>
      <c r="J12" s="9" t="inlineStr">
        <is>
          <t>M2</t>
        </is>
      </c>
      <c r="K12" s="9" t="inlineStr">
        <is>
          <t>US-012, D-02</t>
        </is>
      </c>
      <c r="L12" s="9" t="inlineStr">
        <is>
          <t>GD-03 (candidate), SDC-01</t>
        </is>
      </c>
      <c r="M12" s="9" t="inlineStr">
        <is>
          <t>Containers of structs; references</t>
        </is>
      </c>
      <c r="N12" s="9" t="n"/>
      <c r="O12" s="16" t="inlineStr">
        <is>
          <t>Done</t>
        </is>
      </c>
    </row>
    <row r="13" ht="124.15" customHeight="1" s="20">
      <c r="A13" s="7" t="inlineStr">
        <is>
          <t>US-014</t>
        </is>
      </c>
      <c r="B13" s="9" t="inlineStr">
        <is>
          <t>E1</t>
        </is>
      </c>
      <c r="C13" s="9" t="inlineStr">
        <is>
          <t>Write a readable chronicle</t>
        </is>
      </c>
      <c r="D13" s="9" t="inlineStr">
        <is>
          <t>As a player, I want notable events recorded as short sentences, so that I can read the clan's story and share it.</t>
        </is>
      </c>
      <c r="E13" s="9" t="inlineStr">
        <is>
          <t>Scenario: Record
  Given a birth, death, first hunt of a mammoth or a feud
  When it happens
  Then the chronicle adds one sentence with the in-game date, e.g. 'Spring, year 3: Ura was born to Tok and Maa.'
Scenario: Filter
  Given hundreds of minor events in a year
  When I print the chronicle for that year
  Then only events above the importance threshold appear</t>
        </is>
      </c>
      <c r="F13" s="9" t="inlineStr">
        <is>
          <t>Must</t>
        </is>
      </c>
      <c r="G13" s="9" t="inlineStr">
        <is>
          <t>M</t>
        </is>
      </c>
      <c r="H13" s="9">
        <f>VLOOKUP(G13,'Read Me'!$A$13:$C$15,2,FALSE)</f>
        <v/>
      </c>
      <c r="I13" s="9">
        <f>VLOOKUP(G13,'Read Me'!$A$13:$C$15,3,FALSE)</f>
        <v/>
      </c>
      <c r="J13" s="9" t="inlineStr">
        <is>
          <t>M2</t>
        </is>
      </c>
      <c r="K13" s="9" t="inlineStr">
        <is>
          <t>US-013</t>
        </is>
      </c>
      <c r="L13" s="9" t="inlineStr">
        <is>
          <t>NA-02 (candidate tapestry)</t>
        </is>
      </c>
      <c r="M13" s="9" t="inlineStr">
        <is>
          <t>std::string and formatting</t>
        </is>
      </c>
      <c r="N13" s="9" t="n"/>
      <c r="O13" s="16" t="inlineStr">
        <is>
          <t>Done</t>
        </is>
      </c>
    </row>
    <row r="14" ht="124.15" customHeight="1" s="20">
      <c r="A14" s="7" t="inlineStr">
        <is>
          <t>US-015</t>
        </is>
      </c>
      <c r="B14" s="9" t="inlineStr">
        <is>
          <t>E1</t>
        </is>
      </c>
      <c r="C14" s="9" t="inlineStr">
        <is>
          <t>Soak-test the simulation from the command line</t>
        </is>
      </c>
      <c r="D14" s="9" t="inlineStr">
        <is>
          <t>As a developer, I want to run the headless simulation for N years with a seed and get a report, so that I can check stability and balance in seconds.</t>
        </is>
      </c>
      <c r="E14" s="9" t="inlineStr">
        <is>
          <t>Scenario: Run
  Given the command odysseus_headless --seed 7 --years 100
  When it runs
  Then it finishes without crashing and prints population, deaths by cause, average needs and tick time
Scenario: Bad input
  Given --years -5
  When I run it
  Then it prints a usage message and exits with an error code</t>
        </is>
      </c>
      <c r="F14" s="9" t="inlineStr">
        <is>
          <t>Must</t>
        </is>
      </c>
      <c r="G14" s="9" t="inlineStr">
        <is>
          <t>S</t>
        </is>
      </c>
      <c r="H14" s="9">
        <f>VLOOKUP(G14,'Read Me'!$A$13:$C$15,2,FALSE)</f>
        <v/>
      </c>
      <c r="I14" s="9">
        <f>VLOOKUP(G14,'Read Me'!$A$13:$C$15,3,FALSE)</f>
        <v/>
      </c>
      <c r="J14" s="9" t="inlineStr">
        <is>
          <t>M2</t>
        </is>
      </c>
      <c r="K14" s="9" t="inlineStr">
        <is>
          <t>US-010..US-014</t>
        </is>
      </c>
      <c r="L14" s="9" t="inlineStr">
        <is>
          <t>AQ-01, NFR-03, NFR-04</t>
        </is>
      </c>
      <c r="M14" s="9" t="inlineStr">
        <is>
          <t>main(), command-line arguments</t>
        </is>
      </c>
      <c r="N14" s="9" t="n"/>
      <c r="O14" s="16" t="inlineStr">
        <is>
          <t>Done</t>
        </is>
      </c>
    </row>
    <row r="15" ht="186.4" customHeight="1" s="20">
      <c r="A15" s="7" t="inlineStr">
        <is>
          <t>US-016</t>
        </is>
      </c>
      <c r="B15" s="9" t="inlineStr">
        <is>
          <t>E1</t>
        </is>
      </c>
      <c r="C15" s="9" t="inlineStr">
        <is>
          <t>Save and load the simulation</t>
        </is>
      </c>
      <c r="D15" s="9" t="inlineStr">
        <is>
          <t>As a player, I want to save the world and load it later exactly as it was, so that I never lose my progress.</t>
        </is>
      </c>
      <c r="E15" s="9" t="inlineStr">
        <is>
          <t>Scenario: Round trip
  Given a simulation after 50 years
  When I save and load it
  Then the world hash after loading equals the hash before saving
Scenario: Crash-safe
  Given a save interrupted halfway
  When I load
  Then the previous complete save loads and nothing crashes
Scenario: Old version
  Given a save file from an earlier save version
  When I load it
  Then it is upgraded and loads, or a clear message explains why it cannot</t>
        </is>
      </c>
      <c r="F15" s="9" t="inlineStr">
        <is>
          <t>Must</t>
        </is>
      </c>
      <c r="G15" s="9" t="inlineStr">
        <is>
          <t>M</t>
        </is>
      </c>
      <c r="H15" s="9">
        <f>VLOOKUP(G15,'Read Me'!$A$13:$C$15,2,FALSE)</f>
        <v/>
      </c>
      <c r="I15" s="9">
        <f>VLOOKUP(G15,'Read Me'!$A$13:$C$15,3,FALSE)</f>
        <v/>
      </c>
      <c r="J15" s="9" t="inlineStr">
        <is>
          <t>M2</t>
        </is>
      </c>
      <c r="K15" s="9" t="inlineStr">
        <is>
          <t>US-010, D-13</t>
        </is>
      </c>
      <c r="L15" s="9" t="inlineStr">
        <is>
          <t>ADR-010, NFR-05</t>
        </is>
      </c>
      <c r="M15" s="9" t="inlineStr">
        <is>
          <t>File I/O, JSON, error handling</t>
        </is>
      </c>
      <c r="N15" s="9" t="n"/>
      <c r="O15" s="16" t="inlineStr">
        <is>
          <t>Done</t>
        </is>
      </c>
    </row>
    <row r="16" ht="186.4" customHeight="1" s="20">
      <c r="A16" s="7" t="inlineStr">
        <is>
          <t>US-020</t>
        </is>
      </c>
      <c r="B16" s="9" t="inlineStr">
        <is>
          <t>E2</t>
        </is>
      </c>
      <c r="C16" s="9" t="inlineStr">
        <is>
          <t>Open a window with a steady game loop</t>
        </is>
      </c>
      <c r="D16" s="9" t="inlineStr">
        <is>
          <t>As a player, I want the game to open a window that runs smoothly and closes cleanly, so that the game feels solid from the first second.</t>
        </is>
      </c>
      <c r="E16" s="9" t="inlineStr">
        <is>
          <t>Scenario: Open
  Given the game is started
  When it launches
  Then a 1280 x 720 window opens within 3 seconds
Scenario: Steady
  Given the loop is running
  When the frame time is measured for 60 seconds
  Then the average is 60 FPS on the development PC and simulation speed is identical at 30 and 144 Hz monitors
Scenario: Close
  Given the window is open
  When I press the close button
  Then the game shuts down with no error in the log</t>
        </is>
      </c>
      <c r="F16" s="9" t="inlineStr">
        <is>
          <t>Must</t>
        </is>
      </c>
      <c r="G16" s="9" t="inlineStr">
        <is>
          <t>M</t>
        </is>
      </c>
      <c r="H16" s="9">
        <f>VLOOKUP(G16,'Read Me'!$A$13:$C$15,2,FALSE)</f>
        <v/>
      </c>
      <c r="I16" s="9">
        <f>VLOOKUP(G16,'Read Me'!$A$13:$C$15,3,FALSE)</f>
        <v/>
      </c>
      <c r="J16" s="9" t="inlineStr">
        <is>
          <t>M1</t>
        </is>
      </c>
      <c r="K16" s="9" t="inlineStr">
        <is>
          <t>US-001, D-13</t>
        </is>
      </c>
      <c r="L16" s="9" t="inlineStr">
        <is>
          <t>ADR-002, ADR-006, TEC-05</t>
        </is>
      </c>
      <c r="M16" s="9" t="inlineStr">
        <is>
          <t>RAII wrapper around SDL_Window; unique_ptr with a custom deleter</t>
        </is>
      </c>
      <c r="N16" s="9" t="n"/>
      <c r="O16" s="16" t="inlineStr">
        <is>
          <t>Done</t>
        </is>
      </c>
    </row>
    <row r="17" ht="186.4" customHeight="1" s="20">
      <c r="A17" s="7" t="inlineStr">
        <is>
          <t>US-021</t>
        </is>
      </c>
      <c r="B17" s="9" t="inlineStr">
        <is>
          <t>E2</t>
        </is>
      </c>
      <c r="C17" s="9" t="inlineStr">
        <is>
          <t>Control the game through intents</t>
        </is>
      </c>
      <c r="D17" s="9" t="inlineStr">
        <is>
          <t>As a player, I want keyboard, mouse and gamepad to control the same actions, so that I can play the way I like, and touch can be added later.</t>
        </is>
      </c>
      <c r="E17" s="9" t="inlineStr">
        <is>
          <t>Scenario: Keyboard
  Given the default bindings
  When I press W
  Then the Move Up intent is produced
Scenario: Gamepad
  Given a connected gamepad
  When I push the left stick up
  Then the same Move Up intent is produced
Scenario: No raw keys
  Given the Game layer code
  When it is reviewed
  Then it only reads intents, never key codes</t>
        </is>
      </c>
      <c r="F17" s="9" t="inlineStr">
        <is>
          <t>Must</t>
        </is>
      </c>
      <c r="G17" s="9" t="inlineStr">
        <is>
          <t>S</t>
        </is>
      </c>
      <c r="H17" s="9">
        <f>VLOOKUP(G17,'Read Me'!$A$13:$C$15,2,FALSE)</f>
        <v/>
      </c>
      <c r="I17" s="9">
        <f>VLOOKUP(G17,'Read Me'!$A$13:$C$15,3,FALSE)</f>
        <v/>
      </c>
      <c r="J17" s="9" t="inlineStr">
        <is>
          <t>M1</t>
        </is>
      </c>
      <c r="K17" s="9" t="inlineStr">
        <is>
          <t>US-020</t>
        </is>
      </c>
      <c r="L17" s="9" t="inlineStr">
        <is>
          <t>ARC-03</t>
        </is>
      </c>
      <c r="M17" s="9" t="inlineStr">
        <is>
          <t>Enums, mapping tables, std::unordered_map</t>
        </is>
      </c>
      <c r="N17" s="9" t="n"/>
      <c r="O17" s="16" t="inlineStr">
        <is>
          <t>Done</t>
        </is>
      </c>
    </row>
    <row r="18" ht="124.15" customHeight="1" s="20">
      <c r="A18" s="7" t="inlineStr">
        <is>
          <t>US-022</t>
        </is>
      </c>
      <c r="B18" s="9" t="inlineStr">
        <is>
          <t>E2</t>
        </is>
      </c>
      <c r="C18" s="9" t="inlineStr">
        <is>
          <t>Draw sprites with crisp pixels</t>
        </is>
      </c>
      <c r="D18" s="9" t="inlineStr">
        <is>
          <t>As a player, I want pixel art to stay sharp at every window size, so that the game looks right on any screen.</t>
        </is>
      </c>
      <c r="E18" s="9" t="inlineStr">
        <is>
          <t>Scenario: Integer scaling
  Given a 480 x 270 virtual screen
  When the window is resized to 1920 x 1080
  Then the image scales by exactly 4 with no blurred pixels
Scenario: Odd size
  Given a window size that is not an exact multiple
  When it is resized
  Then the image uses the largest whole-number scale and letterboxes the rest</t>
        </is>
      </c>
      <c r="F18" s="9" t="inlineStr">
        <is>
          <t>Must</t>
        </is>
      </c>
      <c r="G18" s="9" t="inlineStr">
        <is>
          <t>M</t>
        </is>
      </c>
      <c r="H18" s="9">
        <f>VLOOKUP(G18,'Read Me'!$A$13:$C$15,2,FALSE)</f>
        <v/>
      </c>
      <c r="I18" s="9">
        <f>VLOOKUP(G18,'Read Me'!$A$13:$C$15,3,FALSE)</f>
        <v/>
      </c>
      <c r="J18" s="9" t="inlineStr">
        <is>
          <t>M1</t>
        </is>
      </c>
      <c r="K18" s="9" t="inlineStr">
        <is>
          <t>US-020, D-04</t>
        </is>
      </c>
      <c r="L18" s="9" t="inlineStr">
        <is>
          <t>ENV-11, ADR-003</t>
        </is>
      </c>
      <c r="M18" s="9" t="inlineStr">
        <is>
          <t>Interfaces with virtual functions (Renderer)</t>
        </is>
      </c>
      <c r="N18" s="9" t="n"/>
      <c r="O18" s="16" t="inlineStr">
        <is>
          <t>Done</t>
        </is>
      </c>
    </row>
    <row r="19" ht="124.15" customHeight="1" s="20">
      <c r="A19" s="7" t="inlineStr">
        <is>
          <t>US-023</t>
        </is>
      </c>
      <c r="B19" s="9" t="inlineStr">
        <is>
          <t>E2</t>
        </is>
      </c>
      <c r="C19" s="9" t="inlineStr">
        <is>
          <t>Show a tile map with a following camera</t>
        </is>
      </c>
      <c r="D19" s="9" t="inlineStr">
        <is>
          <t>As a player, I want to see the world around my character, with the camera following me, so that I always know where I am.</t>
        </is>
      </c>
      <c r="E19" s="9" t="inlineStr">
        <is>
          <t>Scenario: Draw
  Given a 64 x 64 test map
  When the game runs
  Then tiles within the camera view are drawn and tiles outside are skipped
Scenario: Follow
  Given the character near the map centre
  When it moves
  Then the camera follows smoothly and stops at the map edges</t>
        </is>
      </c>
      <c r="F19" s="9" t="inlineStr">
        <is>
          <t>Must</t>
        </is>
      </c>
      <c r="G19" s="9" t="inlineStr">
        <is>
          <t>M</t>
        </is>
      </c>
      <c r="H19" s="9">
        <f>VLOOKUP(G19,'Read Me'!$A$13:$C$15,2,FALSE)</f>
        <v/>
      </c>
      <c r="I19" s="9">
        <f>VLOOKUP(G19,'Read Me'!$A$13:$C$15,3,FALSE)</f>
        <v/>
      </c>
      <c r="J19" s="9" t="inlineStr">
        <is>
          <t>M1</t>
        </is>
      </c>
      <c r="K19" s="9" t="inlineStr">
        <is>
          <t>US-022</t>
        </is>
      </c>
      <c r="L19" s="9" t="inlineStr">
        <is>
          <t>Architecture 7.4</t>
        </is>
      </c>
      <c r="M19" s="9" t="inlineStr">
        <is>
          <t>2D grids stored in a 1D vector</t>
        </is>
      </c>
      <c r="N19" s="9" t="n"/>
      <c r="O19" s="16" t="inlineStr">
        <is>
          <t>Done</t>
        </is>
      </c>
    </row>
    <row r="20" ht="186.4" customHeight="1" s="20">
      <c r="A20" s="7" t="inlineStr">
        <is>
          <t>US-024</t>
        </is>
      </c>
      <c r="B20" s="9" t="inlineStr">
        <is>
          <t>E2</t>
        </is>
      </c>
      <c r="C20" s="9" t="inlineStr">
        <is>
          <t>Walk the character around the map</t>
        </is>
      </c>
      <c r="D20" s="9" t="inlineStr">
        <is>
          <t>As a player, I want to move my character in four directions with animation, so that I feel in control of a person in the world.</t>
        </is>
      </c>
      <c r="E20" s="9" t="inlineStr">
        <is>
          <t>Scenario: Walk
  Given the character is idle
  When I hold Move Right
  Then it walks right with a walking animation at the configured speed
Scenario: Blocked
  Given a rock tile to the right
  When I walk into it
  Then the character stops at the tile edge
Scenario: Idle
  Given the character is walking
  When I release all movement input
  Then it stops and plays the idle animation facing the last direction</t>
        </is>
      </c>
      <c r="F20" s="9" t="inlineStr">
        <is>
          <t>Must</t>
        </is>
      </c>
      <c r="G20" s="9" t="inlineStr">
        <is>
          <t>M</t>
        </is>
      </c>
      <c r="H20" s="9">
        <f>VLOOKUP(G20,'Read Me'!$A$13:$C$15,2,FALSE)</f>
        <v/>
      </c>
      <c r="I20" s="9">
        <f>VLOOKUP(G20,'Read Me'!$A$13:$C$15,3,FALSE)</f>
        <v/>
      </c>
      <c r="J20" s="9" t="inlineStr">
        <is>
          <t>M1</t>
        </is>
      </c>
      <c r="K20" s="9" t="inlineStr">
        <is>
          <t>US-021, US-023, D-04</t>
        </is>
      </c>
      <c r="L20" s="9" t="inlineStr">
        <is>
          <t>ENV-11</t>
        </is>
      </c>
      <c r="M20" s="9" t="inlineStr">
        <is>
          <t>State machines; simple collision</t>
        </is>
      </c>
      <c r="N20" s="9" t="n"/>
      <c r="O20" s="16" t="inlineStr">
        <is>
          <t>Done</t>
        </is>
      </c>
    </row>
    <row r="21" ht="186.4" customHeight="1" s="20">
      <c r="A21" s="7" t="inlineStr">
        <is>
          <t>US-030</t>
        </is>
      </c>
      <c r="B21" s="9" t="inlineStr">
        <is>
          <t>E3</t>
        </is>
      </c>
      <c r="C21" s="9" t="inlineStr">
        <is>
          <t>Compose characters from layers</t>
        </is>
      </c>
      <c r="D21" s="9" t="inlineStr">
        <is>
          <t>As a player, I want characters built from body, hair, outfit and held-item layers with colour variants, so that every person looks different and outfits can grow with progression.</t>
        </is>
      </c>
      <c r="E21" s="9" t="inlineStr">
        <is>
          <t>Scenario: Compose
  Given a body, a hair style, an outfit and a spear
  When the character is drawn
  Then all four layers line up in every animation frame and direction
Scenario: Swap
  Given a character wearing outfit A
  When the outfit changes to B
  Then only the outfit layer changes
Scenario: Palette
  Given one hair sprite
  When three palettes are applied
  Then three distinct hair colours appear without new art</t>
        </is>
      </c>
      <c r="F21" s="9" t="inlineStr">
        <is>
          <t>Must</t>
        </is>
      </c>
      <c r="G21" s="9" t="inlineStr">
        <is>
          <t>M</t>
        </is>
      </c>
      <c r="H21" s="9">
        <f>VLOOKUP(G21,'Read Me'!$A$13:$C$15,2,FALSE)</f>
        <v/>
      </c>
      <c r="I21" s="9">
        <f>VLOOKUP(G21,'Read Me'!$A$13:$C$15,3,FALSE)</f>
        <v/>
      </c>
      <c r="J21" s="9" t="inlineStr">
        <is>
          <t>M3</t>
        </is>
      </c>
      <c r="K21" s="9" t="inlineStr">
        <is>
          <t>US-024, D-04, D-05</t>
        </is>
      </c>
      <c r="L21" s="9" t="inlineStr">
        <is>
          <t>ENV-12, MVP-11</t>
        </is>
      </c>
      <c r="M21" s="9" t="inlineStr">
        <is>
          <t>Composition over inheritance</t>
        </is>
      </c>
      <c r="N21" s="9" t="n"/>
      <c r="O21" s="16" t="inlineStr">
        <is>
          <t>Done</t>
        </is>
      </c>
    </row>
    <row r="22" ht="124.15" customHeight="1" s="20">
      <c r="A22" s="7" t="inlineStr">
        <is>
          <t>US-031</t>
        </is>
      </c>
      <c r="B22" s="9" t="inlineStr">
        <is>
          <t>E3</t>
        </is>
      </c>
      <c r="C22" s="9" t="inlineStr">
        <is>
          <t>Read people's state at a glance</t>
        </is>
      </c>
      <c r="D22" s="9" t="inlineStr">
        <is>
          <t>As a player, I want to see how people feel from their posture and small emote icons, so that I understand the clan without opening menus.</t>
        </is>
      </c>
      <c r="E22" s="9" t="inlineStr">
        <is>
          <t>Scenario: Emote
  Given a person whose Warmth is critical
  When they are on screen
  Then a shiver animation or cold emote is visible
Scenario: Details on demand
  Given any person
  When I hover or click them
  Then a panel shows exact need values and current action</t>
        </is>
      </c>
      <c r="F22" s="9" t="inlineStr">
        <is>
          <t>Should</t>
        </is>
      </c>
      <c r="G22" s="9" t="inlineStr">
        <is>
          <t>S</t>
        </is>
      </c>
      <c r="H22" s="9">
        <f>VLOOKUP(G22,'Read Me'!$A$13:$C$15,2,FALSE)</f>
        <v/>
      </c>
      <c r="I22" s="9">
        <f>VLOOKUP(G22,'Read Me'!$A$13:$C$15,3,FALSE)</f>
        <v/>
      </c>
      <c r="J22" s="9" t="inlineStr">
        <is>
          <t>M3</t>
        </is>
      </c>
      <c r="K22" s="9" t="inlineStr">
        <is>
          <t>US-032, US-011</t>
        </is>
      </c>
      <c r="L22" s="9" t="inlineStr">
        <is>
          <t>UX-01 (candidate)</t>
        </is>
      </c>
      <c r="M22" s="9" t="inlineStr">
        <is>
          <t>Mapping data to presentation</t>
        </is>
      </c>
      <c r="N22" s="9" t="n"/>
      <c r="O22" s="16" t="inlineStr">
        <is>
          <t>Done</t>
        </is>
      </c>
    </row>
    <row r="23" ht="186.4" customHeight="1" s="20">
      <c r="A23" s="7" t="inlineStr">
        <is>
          <t>US-032</t>
        </is>
      </c>
      <c r="B23" s="9" t="inlineStr">
        <is>
          <t>E3</t>
        </is>
      </c>
      <c r="C23" s="9" t="inlineStr">
        <is>
          <t>See the simulated clan on screen</t>
        </is>
      </c>
      <c r="D23" s="9" t="inlineStr">
        <is>
          <t>As a player, I want clan members from the simulation to appear and act in the world, so that I watch the clan live its life.</t>
        </is>
      </c>
      <c r="E23" s="9" t="inlineStr">
        <is>
          <t>Scenario: Mirror
  Given 20 people in the simulation
  When the game renders
  Then 20 characters appear at their simulated positions
Scenario: Smooth
  Given the simulation ticking at 20 Hz
  When characters move
  Then their movement is interpolated and looks smooth at 60 FPS
Scenario: Separation
  Given the Simulation layer
  When the build is checked
  Then it contains no rendering code (US-003 still passes)</t>
        </is>
      </c>
      <c r="F23" s="9" t="inlineStr">
        <is>
          <t>Must</t>
        </is>
      </c>
      <c r="G23" s="9" t="inlineStr">
        <is>
          <t>L</t>
        </is>
      </c>
      <c r="H23" s="9">
        <f>VLOOKUP(G23,'Read Me'!$A$13:$C$15,2,FALSE)</f>
        <v/>
      </c>
      <c r="I23" s="9">
        <f>VLOOKUP(G23,'Read Me'!$A$13:$C$15,3,FALSE)</f>
        <v/>
      </c>
      <c r="J23" s="9" t="inlineStr">
        <is>
          <t>M3</t>
        </is>
      </c>
      <c r="K23" s="9" t="inlineStr">
        <is>
          <t>US-012, US-024</t>
        </is>
      </c>
      <c r="L23" s="9" t="inlineStr">
        <is>
          <t>ADR-004, ADR-005, ARC-05</t>
        </is>
      </c>
      <c r="M23" s="9" t="inlineStr">
        <is>
          <t>EnTT registry and views; interpolation</t>
        </is>
      </c>
      <c r="N23" s="9" t="n"/>
      <c r="O23" s="16" t="inlineStr">
        <is>
          <t>Done</t>
        </is>
      </c>
    </row>
    <row r="24" ht="186.4" customHeight="1" s="20">
      <c r="A24" s="7" t="inlineStr">
        <is>
          <t>US-040</t>
        </is>
      </c>
      <c r="B24" s="9" t="inlineStr">
        <is>
          <t>E4</t>
        </is>
      </c>
      <c r="C24" s="9" t="inlineStr">
        <is>
          <t>Generate a region from a seed</t>
        </is>
      </c>
      <c r="D24" s="9" t="inlineStr">
        <is>
          <t>As a player, I want each new game to create a different region with steppe, forest, river and caves, so that every playthrough feels new.</t>
        </is>
      </c>
      <c r="E24" s="9" t="inlineStr">
        <is>
          <t>Scenario: Variety
  Given seeds 1 and 2
  When regions are generated
  Then they differ in layout and biome placement
Scenario: Repeatable
  Given seed 1 twice
  When regions are generated
  Then they are identical tile for tile
Scenario: Playable
  Given any seed
  When a region is generated
  Then the start area is reachable, has water and food within 20 tiles, and generation takes under 10 seconds</t>
        </is>
      </c>
      <c r="F24" s="9" t="inlineStr">
        <is>
          <t>Must</t>
        </is>
      </c>
      <c r="G24" s="9" t="inlineStr">
        <is>
          <t>L</t>
        </is>
      </c>
      <c r="H24" s="9">
        <f>VLOOKUP(G24,'Read Me'!$A$13:$C$15,2,FALSE)</f>
        <v/>
      </c>
      <c r="I24" s="9">
        <f>VLOOKUP(G24,'Read Me'!$A$13:$C$15,3,FALSE)</f>
        <v/>
      </c>
      <c r="J24" s="9" t="inlineStr">
        <is>
          <t>M4</t>
        </is>
      </c>
      <c r="K24" s="9" t="inlineStr">
        <is>
          <t>US-023, D-13</t>
        </is>
      </c>
      <c r="L24" s="9" t="inlineStr">
        <is>
          <t>ENV-03, ARC-06, ADR-009, MVP-03</t>
        </is>
      </c>
      <c r="M24" s="9" t="inlineStr">
        <is>
          <t>Noise functions; seeded random numbers</t>
        </is>
      </c>
      <c r="N24" s="9" t="n"/>
      <c r="O24" s="16" t="inlineStr">
        <is>
          <t>Done</t>
        </is>
      </c>
    </row>
    <row r="25" ht="124.15" customHeight="1" s="20">
      <c r="A25" s="7" t="inlineStr">
        <is>
          <t>US-041</t>
        </is>
      </c>
      <c r="B25" s="9" t="inlineStr">
        <is>
          <t>E4</t>
        </is>
      </c>
      <c r="C25" s="9" t="inlineStr">
        <is>
          <t>Place resources by biome</t>
        </is>
      </c>
      <c r="D25" s="9" t="inlineStr">
        <is>
          <t>As a player, I want flint, wood, berries and animals placed where they make sense, so that exploring the land matters.</t>
        </is>
      </c>
      <c r="E25" s="9" t="inlineStr">
        <is>
          <t>Scenario: Biome rules
  Given a generated region
  When resources are placed
  Then flint appears near rivers and caves, berries in forest edges, herds on the steppe
Scenario: Regrowth
  Given a berry bush that was harvested
  When the configured days pass in the right season
  Then it regrows</t>
        </is>
      </c>
      <c r="F25" s="9" t="inlineStr">
        <is>
          <t>Must</t>
        </is>
      </c>
      <c r="G25" s="9" t="inlineStr">
        <is>
          <t>M</t>
        </is>
      </c>
      <c r="H25" s="9">
        <f>VLOOKUP(G25,'Read Me'!$A$13:$C$15,2,FALSE)</f>
        <v/>
      </c>
      <c r="I25" s="9">
        <f>VLOOKUP(G25,'Read Me'!$A$13:$C$15,3,FALSE)</f>
        <v/>
      </c>
      <c r="J25" s="9" t="inlineStr">
        <is>
          <t>M4</t>
        </is>
      </c>
      <c r="K25" s="9" t="inlineStr">
        <is>
          <t>US-040</t>
        </is>
      </c>
      <c r="L25" s="9" t="inlineStr">
        <is>
          <t>Overview v0.1 (materials)</t>
        </is>
      </c>
      <c r="M25" s="9" t="inlineStr">
        <is>
          <t>Data tables from JSON</t>
        </is>
      </c>
      <c r="N25" s="9" t="n"/>
      <c r="O25" s="16" t="inlineStr">
        <is>
          <t>Done</t>
        </is>
      </c>
    </row>
    <row r="26" ht="186.4" customHeight="1" s="20">
      <c r="A26" s="7" t="inlineStr">
        <is>
          <t>US-042</t>
        </is>
      </c>
      <c r="B26" s="9" t="inlineStr">
        <is>
          <t>E4</t>
        </is>
      </c>
      <c r="C26" s="9" t="inlineStr">
        <is>
          <t>Spawn rival clans</t>
        </is>
      </c>
      <c r="D26" s="9" t="inlineStr">
        <is>
          <t>As a player, I want two AI clans living elsewhere in the region, so that there are others to trade with, convert, or compete against.</t>
        </is>
      </c>
      <c r="E26" s="9" t="inlineStr">
        <is>
          <t>Scenario: Spawn
  Given a new region
  When the game starts
  Then two rival clans of 10-20 people exist at least 60 tiles from the player's camp
Scenario: Autonomy
  Given rival clans
  When a year passes
  Then they gather, move camp and grow or shrink on their own
Scenario: LOD
  Given a rival clan far from the player
  When it is simulated
  Then it runs at the Nearby tier rate (1 tick/s)</t>
        </is>
      </c>
      <c r="F26" s="9" t="inlineStr">
        <is>
          <t>Must</t>
        </is>
      </c>
      <c r="G26" s="9" t="inlineStr">
        <is>
          <t>M</t>
        </is>
      </c>
      <c r="H26" s="9">
        <f>VLOOKUP(G26,'Read Me'!$A$13:$C$15,2,FALSE)</f>
        <v/>
      </c>
      <c r="I26" s="9">
        <f>VLOOKUP(G26,'Read Me'!$A$13:$C$15,3,FALSE)</f>
        <v/>
      </c>
      <c r="J26" s="9" t="inlineStr">
        <is>
          <t>M4</t>
        </is>
      </c>
      <c r="K26" s="9" t="inlineStr">
        <is>
          <t>US-040, US-012</t>
        </is>
      </c>
      <c r="L26" s="9" t="inlineStr">
        <is>
          <t>ARC-05, MVP-10</t>
        </is>
      </c>
      <c r="M26" s="9" t="inlineStr">
        <is>
          <t>Reusing systems for different data</t>
        </is>
      </c>
      <c r="N26" s="9" t="n"/>
      <c r="O26" s="16" t="inlineStr">
        <is>
          <t>Done</t>
        </is>
      </c>
    </row>
    <row r="27" ht="124.15" customHeight="1" s="20">
      <c r="A27" s="7" t="inlineStr">
        <is>
          <t>US-043</t>
        </is>
      </c>
      <c r="B27" s="9" t="inlineStr">
        <is>
          <t>E4</t>
        </is>
      </c>
      <c r="C27" s="9" t="inlineStr">
        <is>
          <t>Stream chunks and save only changes</t>
        </is>
      </c>
      <c r="D27" s="9" t="inlineStr">
        <is>
          <t>As a developer, I want the region stored as a seed plus changed chunks, so that saves stay small and loading is fast.</t>
        </is>
      </c>
      <c r="E27" s="9" t="inlineStr">
        <is>
          <t>Scenario: Streaming
  Given the player walking across the region
  When they approach unloaded chunks
  Then chunks load before they become visible with no stutter over 50 ms
Scenario: Delta save
  Given a region where 3 chunks were changed
  When the game is saved
  Then only those 3 chunks are stored besides the seed</t>
        </is>
      </c>
      <c r="F27" s="9" t="inlineStr">
        <is>
          <t>Should</t>
        </is>
      </c>
      <c r="G27" s="9" t="inlineStr">
        <is>
          <t>M</t>
        </is>
      </c>
      <c r="H27" s="9">
        <f>VLOOKUP(G27,'Read Me'!$A$13:$C$15,2,FALSE)</f>
        <v/>
      </c>
      <c r="I27" s="9">
        <f>VLOOKUP(G27,'Read Me'!$A$13:$C$15,3,FALSE)</f>
        <v/>
      </c>
      <c r="J27" s="9" t="inlineStr">
        <is>
          <t>M4</t>
        </is>
      </c>
      <c r="K27" s="9" t="inlineStr">
        <is>
          <t>US-040, US-016</t>
        </is>
      </c>
      <c r="L27" s="9" t="inlineStr">
        <is>
          <t>ARC-06, ADR-009</t>
        </is>
      </c>
      <c r="M27" s="9" t="inlineStr">
        <is>
          <t>Hashing chunk coordinates</t>
        </is>
      </c>
      <c r="N27" s="9" t="n"/>
      <c r="O27" s="16" t="inlineStr">
        <is>
          <t>Done</t>
        </is>
      </c>
    </row>
    <row r="28" ht="186.4" customHeight="1" s="20">
      <c r="A28" s="7" t="inlineStr">
        <is>
          <t>US-050</t>
        </is>
      </c>
      <c r="B28" s="9" t="inlineStr">
        <is>
          <t>E5</t>
        </is>
      </c>
      <c r="C28" s="9" t="inlineStr">
        <is>
          <t>Start a new game</t>
        </is>
      </c>
      <c r="D28" s="9" t="inlineStr">
        <is>
          <t>As a player, I want to choose a seed, a Growing Period preset and a Comfort level before starting, so that I can shape the kind of game I want.</t>
        </is>
      </c>
      <c r="E28" s="9" t="inlineStr">
        <is>
          <t>Scenario: Defaults
  Given the New Game screen
  When I press Start without changing anything
  Then a random seed, Full Growing Period and Balanced comfort are used, and my hero starts at age 12
Scenario: Seed
  Given I type seed 1234
  When I start two games with it
  Then both regions and heroes are identical
Scenario: Preset Off
  Given Growing Period set to Off
  When I start
  Then the hero starts at 26 with affinities generated from the origin</t>
        </is>
      </c>
      <c r="F28" s="9" t="inlineStr">
        <is>
          <t>Must</t>
        </is>
      </c>
      <c r="G28" s="9" t="inlineStr">
        <is>
          <t>M</t>
        </is>
      </c>
      <c r="H28" s="9">
        <f>VLOOKUP(G28,'Read Me'!$A$13:$C$15,2,FALSE)</f>
        <v/>
      </c>
      <c r="I28" s="9">
        <f>VLOOKUP(G28,'Read Me'!$A$13:$C$15,3,FALSE)</f>
        <v/>
      </c>
      <c r="J28" s="9" t="inlineStr">
        <is>
          <t>M5</t>
        </is>
      </c>
      <c r="K28" s="9" t="inlineStr">
        <is>
          <t>US-040, D-07</t>
        </is>
      </c>
      <c r="L28" s="9" t="inlineStr">
        <is>
          <t>CHR-03, CHR-06, ENV-07, MVP-05</t>
        </is>
      </c>
      <c r="M28" s="9" t="inlineStr">
        <is>
          <t>UI state and screens</t>
        </is>
      </c>
      <c r="N28" s="9" t="n"/>
      <c r="O28" s="16" t="inlineStr">
        <is>
          <t>Done</t>
        </is>
      </c>
    </row>
    <row r="29" ht="124.15" customHeight="1" s="20">
      <c r="A29" s="7" t="inlineStr">
        <is>
          <t>US-051</t>
        </is>
      </c>
      <c r="B29" s="9" t="inlineStr">
        <is>
          <t>E5</t>
        </is>
      </c>
      <c r="C29" s="9" t="inlineStr">
        <is>
          <t>Choose how to spend each year of youth</t>
        </is>
      </c>
      <c r="D29" s="9" t="inlineStr">
        <is>
          <t>As a player, I want to pick Focus activities each in-game year, so that I decide what kind of person my hero becomes.</t>
        </is>
      </c>
      <c r="E29" s="9" t="inlineStr">
        <is>
          <t>Scenario: Choose
  Given a new year in the Growing Period
  When the Focus screen opens
  Then I can choose 2 activities (e.g. Hunt with elders, Tend the fire, Wander)
Scenario: Effect
  Given I chose Tend the fire
  When the year ends
  Then Fire-keeping skill and Religion affinity increase by base x imprint multiplier</t>
        </is>
      </c>
      <c r="F29" s="9" t="inlineStr">
        <is>
          <t>Must</t>
        </is>
      </c>
      <c r="G29" s="9" t="inlineStr">
        <is>
          <t>M</t>
        </is>
      </c>
      <c r="H29" s="9">
        <f>VLOOKUP(G29,'Read Me'!$A$13:$C$15,2,FALSE)</f>
        <v/>
      </c>
      <c r="I29" s="9">
        <f>VLOOKUP(G29,'Read Me'!$A$13:$C$15,3,FALSE)</f>
        <v/>
      </c>
      <c r="J29" s="9" t="inlineStr">
        <is>
          <t>M5</t>
        </is>
      </c>
      <c r="K29" s="9" t="inlineStr">
        <is>
          <t>US-050, US-053</t>
        </is>
      </c>
      <c r="L29" s="9" t="inlineStr">
        <is>
          <t>CHR-05, Growing Period sheet</t>
        </is>
      </c>
      <c r="M29" s="9" t="inlineStr">
        <is>
          <t>Data-driven choices</t>
        </is>
      </c>
      <c r="N29" s="9" t="n"/>
      <c r="O29" s="16" t="inlineStr">
        <is>
          <t>Done</t>
        </is>
      </c>
    </row>
    <row r="30" ht="186.4" customHeight="1" s="20">
      <c r="A30" s="7" t="inlineStr">
        <is>
          <t>US-052</t>
        </is>
      </c>
      <c r="B30" s="9" t="inlineStr">
        <is>
          <t>E5</t>
        </is>
      </c>
      <c r="C30" s="9" t="inlineStr">
        <is>
          <t>Face Crossroads events</t>
        </is>
      </c>
      <c r="D30" s="9" t="inlineStr">
        <is>
          <t>As a player, I want story decisions with lasting consequences during youth, so that my choices feel meaningful.</t>
        </is>
      </c>
      <c r="E30" s="9" t="inlineStr">
        <is>
          <t>Scenario: Trigger
  Given the Growing Period in progress
  When a year passes
  Then one Crossroads event appears, chosen from those whose conditions match
Scenario: Consequence
  Given I choose an option
  When the event resolves
  Then its effects apply (affinity, relationship, trait) and the chronicle records it
Scenario: Content
  Given the MVP data files
  When they are counted
  Then there are at least 10 Crossroads events, each with 2-3 options</t>
        </is>
      </c>
      <c r="F30" s="9" t="inlineStr">
        <is>
          <t>Must</t>
        </is>
      </c>
      <c r="G30" s="9" t="inlineStr">
        <is>
          <t>L</t>
        </is>
      </c>
      <c r="H30" s="9">
        <f>VLOOKUP(G30,'Read Me'!$A$13:$C$15,2,FALSE)</f>
        <v/>
      </c>
      <c r="I30" s="9">
        <f>VLOOKUP(G30,'Read Me'!$A$13:$C$15,3,FALSE)</f>
        <v/>
      </c>
      <c r="J30" s="9" t="inlineStr">
        <is>
          <t>M5</t>
        </is>
      </c>
      <c r="K30" s="9" t="inlineStr">
        <is>
          <t>US-051, D-11</t>
        </is>
      </c>
      <c r="L30" s="9" t="inlineStr">
        <is>
          <t>CHR-05, NA-03 (candidate)</t>
        </is>
      </c>
      <c r="M30" s="9" t="inlineStr">
        <is>
          <t>Loading and validating content from JSON</t>
        </is>
      </c>
      <c r="N30" s="9" t="n"/>
      <c r="O30" s="16" t="inlineStr">
        <is>
          <t>Done</t>
        </is>
      </c>
    </row>
    <row r="31" ht="186.4" customHeight="1" s="20">
      <c r="A31" s="7" t="inlineStr">
        <is>
          <t>US-053</t>
        </is>
      </c>
      <c r="B31" s="9" t="inlineStr">
        <is>
          <t>E5</t>
        </is>
      </c>
      <c r="C31" s="9" t="inlineStr">
        <is>
          <t>Weight choices by age (imprint curve)</t>
        </is>
      </c>
      <c r="D31" s="9" t="inlineStr">
        <is>
          <t>As a developer, I want Path Affinity gains multiplied by the imprint curve, so that early choices shape the hero most, as designed.</t>
        </is>
      </c>
      <c r="E31" s="9" t="inlineStr">
        <is>
          <t>Scenario: Curve
  Given default tunables
  When a decision is made at 12, 19 and 26
  Then the multipliers are 3.00, 1.75 and 0.50
Scenario: After 26
  Given an adult hero
  When a decision is made
  Then the settled multiplier 0.25 applies
Scenario: Tunable
  Given a designer changes the peak to 4.0 in the data file
  When the game restarts
  Then the new curve is used with no C++ change</t>
        </is>
      </c>
      <c r="F31" s="9" t="inlineStr">
        <is>
          <t>Must</t>
        </is>
      </c>
      <c r="G31" s="9" t="inlineStr">
        <is>
          <t>S</t>
        </is>
      </c>
      <c r="H31" s="9">
        <f>VLOOKUP(G31,'Read Me'!$A$13:$C$15,2,FALSE)</f>
        <v/>
      </c>
      <c r="I31" s="9">
        <f>VLOOKUP(G31,'Read Me'!$A$13:$C$15,3,FALSE)</f>
        <v/>
      </c>
      <c r="J31" s="9" t="inlineStr">
        <is>
          <t>M5</t>
        </is>
      </c>
      <c r="K31" s="9" t="inlineStr">
        <is>
          <t>US-050</t>
        </is>
      </c>
      <c r="L31" s="9" t="inlineStr">
        <is>
          <t>CHR-05, CHR-06, ARC-08</t>
        </is>
      </c>
      <c r="M31" s="9" t="inlineStr">
        <is>
          <t>Pure functions and unit tests</t>
        </is>
      </c>
      <c r="N31" s="9" t="n"/>
      <c r="O31" s="16" t="inlineStr">
        <is>
          <t>Done</t>
        </is>
      </c>
    </row>
    <row r="32" ht="124.15" customHeight="1" s="20">
      <c r="A32" s="7" t="inlineStr">
        <is>
          <t>US-054</t>
        </is>
      </c>
      <c r="B32" s="9" t="inlineStr">
        <is>
          <t>E5</t>
        </is>
      </c>
      <c r="C32" s="9" t="inlineStr">
        <is>
          <t>Reveal the specialty at the Mantle moment</t>
        </is>
      </c>
      <c r="D32" s="9" t="inlineStr">
        <is>
          <t>As a player, I want my hero's specialty revealed at 26, so that I see the result of my youth.</t>
        </is>
      </c>
      <c r="E32" s="9" t="inlineStr">
        <is>
          <t>Scenario: Reveal
  Given the hero turns 26
  When the Mantle event runs
  Then the top one or two affinities become the Specialty, shown on a summary screen and in the chronicle
Scenario: Tie
  Given two affinities equal at the top
  When the Mantle event runs
  Then both become the Specialty</t>
        </is>
      </c>
      <c r="F32" s="9" t="inlineStr">
        <is>
          <t>Must</t>
        </is>
      </c>
      <c r="G32" s="9" t="inlineStr">
        <is>
          <t>S</t>
        </is>
      </c>
      <c r="H32" s="9">
        <f>VLOOKUP(G32,'Read Me'!$A$13:$C$15,2,FALSE)</f>
        <v/>
      </c>
      <c r="I32" s="9">
        <f>VLOOKUP(G32,'Read Me'!$A$13:$C$15,3,FALSE)</f>
        <v/>
      </c>
      <c r="J32" s="9" t="inlineStr">
        <is>
          <t>M5</t>
        </is>
      </c>
      <c r="K32" s="9" t="inlineStr">
        <is>
          <t>US-053</t>
        </is>
      </c>
      <c r="L32" s="9" t="inlineStr">
        <is>
          <t>CHR-04, CHR-05</t>
        </is>
      </c>
      <c r="M32" s="9" t="inlineStr">
        <is>
          <t>Sorting and ties</t>
        </is>
      </c>
      <c r="N32" s="9" t="n"/>
      <c r="O32" s="16" t="inlineStr">
        <is>
          <t>Done</t>
        </is>
      </c>
    </row>
    <row r="33" ht="186.4" customHeight="1" s="20">
      <c r="A33" s="7" t="inlineStr">
        <is>
          <t>US-055</t>
        </is>
      </c>
      <c r="B33" s="9" t="inlineStr">
        <is>
          <t>E5</t>
        </is>
      </c>
      <c r="C33" s="9" t="inlineStr">
        <is>
          <t>Age, die, and end the run</t>
        </is>
      </c>
      <c r="D33" s="9" t="inlineStr">
        <is>
          <t>As a player, I want my hero to age and eventually die, ending the run with a summary, so that every life has an arc and an ending.</t>
        </is>
      </c>
      <c r="E33" s="9" t="inlineStr">
        <is>
          <t>Scenario: Aging
  Given a hero at 40
  When years pass
  Then age affects energy decay by the configured amount
Scenario: Death
  Given the hero dies
  When the death is processed
  Then the run ends with a summary: life events from the chronicle, specialty, and Dominion reached
Scenario: Early death
  Given the hero dies before 26
  When the run ends
  Then it counts as a loss (MVP-09)</t>
        </is>
      </c>
      <c r="F33" s="9" t="inlineStr">
        <is>
          <t>Must</t>
        </is>
      </c>
      <c r="G33" s="9" t="inlineStr">
        <is>
          <t>M</t>
        </is>
      </c>
      <c r="H33" s="9">
        <f>VLOOKUP(G33,'Read Me'!$A$13:$C$15,2,FALSE)</f>
        <v/>
      </c>
      <c r="I33" s="9">
        <f>VLOOKUP(G33,'Read Me'!$A$13:$C$15,3,FALSE)</f>
        <v/>
      </c>
      <c r="J33" s="9" t="inlineStr">
        <is>
          <t>M5</t>
        </is>
      </c>
      <c r="K33" s="9" t="inlineStr">
        <is>
          <t>US-054, US-070</t>
        </is>
      </c>
      <c r="L33" s="9" t="inlineStr">
        <is>
          <t>CHR-02 (One Hero per Age), MVP-04, MVP-09</t>
        </is>
      </c>
      <c r="M33" s="9" t="inlineStr">
        <is>
          <t>Game states</t>
        </is>
      </c>
      <c r="N33" s="9" t="n"/>
      <c r="O33" s="16" t="inlineStr">
        <is>
          <t>Done</t>
        </is>
      </c>
    </row>
    <row r="34" ht="124.15" customHeight="1" s="20">
      <c r="A34" s="7" t="inlineStr">
        <is>
          <t>US-060</t>
        </is>
      </c>
      <c r="B34" s="9" t="inlineStr">
        <is>
          <t>E6</t>
        </is>
      </c>
      <c r="C34" s="9" t="inlineStr">
        <is>
          <t>Define the five Age 1 professions as data</t>
        </is>
      </c>
      <c r="D34" s="9" t="inlineStr">
        <is>
          <t>As a designer (data editor), I want professions defined in JSON: skills, tools, actions, related pillar, so that content can grow without code changes.</t>
        </is>
      </c>
      <c r="E34" s="9" t="inlineStr">
        <is>
          <t>Scenario: Load
  Given professions.json with Hunter, Gatherer, Flint-knapper, Fire-keeper, Shaman-healer
  When the game starts
  Then all five appear in-game
Scenario: Validation
  Given a profession referencing a missing tool
  When the game starts
  Then a clear error names the file, the profession and the missing tool</t>
        </is>
      </c>
      <c r="F34" s="9" t="inlineStr">
        <is>
          <t>Must</t>
        </is>
      </c>
      <c r="G34" s="9" t="inlineStr">
        <is>
          <t>S</t>
        </is>
      </c>
      <c r="H34" s="9">
        <f>VLOOKUP(G34,'Read Me'!$A$13:$C$15,2,FALSE)</f>
        <v/>
      </c>
      <c r="I34" s="9">
        <f>VLOOKUP(G34,'Read Me'!$A$13:$C$15,3,FALSE)</f>
        <v/>
      </c>
      <c r="J34" s="9" t="inlineStr">
        <is>
          <t>M5</t>
        </is>
      </c>
      <c r="K34" s="9" t="inlineStr">
        <is>
          <t>US-016, D-09</t>
        </is>
      </c>
      <c r="L34" s="9" t="inlineStr">
        <is>
          <t>CHR-07, ARC-08, MVP-07</t>
        </is>
      </c>
      <c r="M34" s="9" t="inlineStr">
        <is>
          <t>JSON parsing into structs</t>
        </is>
      </c>
      <c r="N34" s="9" t="n"/>
      <c r="O34" s="16" t="inlineStr">
        <is>
          <t>Done</t>
        </is>
      </c>
    </row>
    <row r="35" ht="186.4" customHeight="1" s="20">
      <c r="A35" s="7" t="inlineStr">
        <is>
          <t>US-061</t>
        </is>
      </c>
      <c r="B35" s="9" t="inlineStr">
        <is>
          <t>E6</t>
        </is>
      </c>
      <c r="C35" s="9" t="inlineStr">
        <is>
          <t>Interact with things through a context menu</t>
        </is>
      </c>
      <c r="D35" s="9" t="inlineStr">
        <is>
          <t>As a player, I want to click a thing and pick from the actions it offers, so that I can do many things with everything in the world.</t>
        </is>
      </c>
      <c r="E35" s="9" t="inlineStr">
        <is>
          <t>Scenario: Offer
  Given a berry bush and a player with empty hands
  When I click the bush
  Then a radial menu offers Gather and Inspect
Scenario: Tool-gated
  Given a flint nodule and no hammerstone
  When I click it
  Then Knap is shown but disabled with the reason 'Needs a hammerstone'
Scenario: Perform
  Given I choose Gather
  When the action completes
  Then the item enters my inventory and the bush shows as harvested</t>
        </is>
      </c>
      <c r="F35" s="9" t="inlineStr">
        <is>
          <t>Must</t>
        </is>
      </c>
      <c r="G35" s="9" t="inlineStr">
        <is>
          <t>L</t>
        </is>
      </c>
      <c r="H35" s="9">
        <f>VLOOKUP(G35,'Read Me'!$A$13:$C$15,2,FALSE)</f>
        <v/>
      </c>
      <c r="I35" s="9">
        <f>VLOOKUP(G35,'Read Me'!$A$13:$C$15,3,FALSE)</f>
        <v/>
      </c>
      <c r="J35" s="9" t="inlineStr">
        <is>
          <t>M5</t>
        </is>
      </c>
      <c r="K35" s="9" t="inlineStr">
        <is>
          <t>US-024, D-08</t>
        </is>
      </c>
      <c r="L35" s="9" t="inlineStr">
        <is>
          <t>INT-01, GD-04 (candidate properties + verbs), UX-02</t>
        </is>
      </c>
      <c r="M35" s="9" t="inlineStr">
        <is>
          <t>Querying components; the Command pattern</t>
        </is>
      </c>
      <c r="N35" s="9" t="n"/>
      <c r="O35" s="16" t="inlineStr">
        <is>
          <t>Done</t>
        </is>
      </c>
    </row>
    <row r="36" ht="186.4" customHeight="1" s="20">
      <c r="A36" s="7" t="inlineStr">
        <is>
          <t>US-062</t>
        </is>
      </c>
      <c r="B36" s="9" t="inlineStr">
        <is>
          <t>E6</t>
        </is>
      </c>
      <c r="C36" s="9" t="inlineStr">
        <is>
          <t>Craft at a workstation</t>
        </is>
      </c>
      <c r="D36" s="9" t="inlineStr">
        <is>
          <t>As a player, I want to turn materials into tools at a knapping stone or fire, so that my work produces useful things.</t>
        </is>
      </c>
      <c r="E36" s="9" t="inlineStr">
        <is>
          <t>Scenario: Craft
  Given 2 flint and a hammerstone at a knapping stone
  When I craft a spearhead
  Then the flint is consumed and a spearhead is created
Scenario: Quality
  Given Flint-knapping skill 1 vs 5
  When each crafts a spearhead
  Then the higher skill gives a higher quality tier more often
Scenario: Provenance
  Given a crafted item
  When I inspect it
  Then it shows who made it, from what, and when</t>
        </is>
      </c>
      <c r="F36" s="9" t="inlineStr">
        <is>
          <t>Must</t>
        </is>
      </c>
      <c r="G36" s="9" t="inlineStr">
        <is>
          <t>M</t>
        </is>
      </c>
      <c r="H36" s="9">
        <f>VLOOKUP(G36,'Read Me'!$A$13:$C$15,2,FALSE)</f>
        <v/>
      </c>
      <c r="I36" s="9">
        <f>VLOOKUP(G36,'Read Me'!$A$13:$C$15,3,FALSE)</f>
        <v/>
      </c>
      <c r="J36" s="9" t="inlineStr">
        <is>
          <t>M5</t>
        </is>
      </c>
      <c r="K36" s="9" t="inlineStr">
        <is>
          <t>US-061, US-060</t>
        </is>
      </c>
      <c r="L36" s="9" t="inlineStr">
        <is>
          <t>GD-02 (candidate provenance)</t>
        </is>
      </c>
      <c r="M36" s="9" t="inlineStr">
        <is>
          <t>Recipes as data</t>
        </is>
      </c>
      <c r="N36" s="9" t="n"/>
      <c r="O36" s="16" t="inlineStr">
        <is>
          <t>Done</t>
        </is>
      </c>
    </row>
    <row r="37" ht="186.4" customHeight="1" s="20">
      <c r="A37" s="7" t="inlineStr">
        <is>
          <t>US-063</t>
        </is>
      </c>
      <c r="B37" s="9" t="inlineStr">
        <is>
          <t>E6</t>
        </is>
      </c>
      <c r="C37" s="9" t="inlineStr">
        <is>
          <t>Learn a trade from a master</t>
        </is>
      </c>
      <c r="D37" s="9" t="inlineStr">
        <is>
          <t>As a player, I want to apprentice with an NPC master once they trust me, so that skills and relationships grow together.</t>
        </is>
      </c>
      <c r="E37" s="9" t="inlineStr">
        <is>
          <t>Scenario: Gated
  Given a master whose relationship with me is below the threshold
  When I ask to apprentice
  Then they refuse and say why
Scenario: Learn
  Given an accepted apprenticeship
  When I work beside the master
  Then my skill in that profession grows faster than alone
Scenario: Skill use
  Given any skill
  When I use it successfully
  Then it gains experience</t>
        </is>
      </c>
      <c r="F37" s="9" t="inlineStr">
        <is>
          <t>Should</t>
        </is>
      </c>
      <c r="G37" s="9" t="inlineStr">
        <is>
          <t>M</t>
        </is>
      </c>
      <c r="H37" s="9">
        <f>VLOOKUP(G37,'Read Me'!$A$13:$C$15,2,FALSE)</f>
        <v/>
      </c>
      <c r="I37" s="9">
        <f>VLOOKUP(G37,'Read Me'!$A$13:$C$15,3,FALSE)</f>
        <v/>
      </c>
      <c r="J37" s="9" t="inlineStr">
        <is>
          <t>M5</t>
        </is>
      </c>
      <c r="K37" s="9" t="inlineStr">
        <is>
          <t>US-013, US-060</t>
        </is>
      </c>
      <c r="L37" s="9" t="inlineStr">
        <is>
          <t>CHR-07, SDC-01 (candidate)</t>
        </is>
      </c>
      <c r="M37" s="9" t="inlineStr">
        <is>
          <t>Relationships as data</t>
        </is>
      </c>
      <c r="N37" s="9" t="n"/>
      <c r="O37" s="16" t="inlineStr">
        <is>
          <t>Done</t>
        </is>
      </c>
    </row>
    <row r="38" ht="124.15" customHeight="1" s="20">
      <c r="A38" s="7" t="inlineStr">
        <is>
          <t>US-070</t>
        </is>
      </c>
      <c r="B38" s="9" t="inlineStr">
        <is>
          <t>E7</t>
        </is>
      </c>
      <c r="C38" s="9" t="inlineStr">
        <is>
          <t>Track regional dominion</t>
        </is>
      </c>
      <c r="D38" s="9" t="inlineStr">
        <is>
          <t>As a player, I want a Dominion Meter showing my clan's share of the region in Trade and Religion, so that I know how close I am to leading the region.</t>
        </is>
      </c>
      <c r="E38" s="9" t="inlineStr">
        <is>
          <t>Scenario: Display
  Given the Dominion panel
  When I open it
  Then Trade and Religion show percentages; Military, Politics, Technology and Ideology show 'later Ages'
Scenario: Update
  Given a trade or conversion happens
  When the day ends
  Then the relevant percentage updates</t>
        </is>
      </c>
      <c r="F38" s="9" t="inlineStr">
        <is>
          <t>Must</t>
        </is>
      </c>
      <c r="G38" s="9" t="inlineStr">
        <is>
          <t>M</t>
        </is>
      </c>
      <c r="H38" s="9">
        <f>VLOOKUP(G38,'Read Me'!$A$13:$C$15,2,FALSE)</f>
        <v/>
      </c>
      <c r="I38" s="9">
        <f>VLOOKUP(G38,'Read Me'!$A$13:$C$15,3,FALSE)</f>
        <v/>
      </c>
      <c r="J38" s="9" t="inlineStr">
        <is>
          <t>M5</t>
        </is>
      </c>
      <c r="K38" s="9" t="inlineStr">
        <is>
          <t>US-042</t>
        </is>
      </c>
      <c r="L38" s="9" t="inlineStr">
        <is>
          <t>ENV-10, MVP-08</t>
        </is>
      </c>
      <c r="M38" s="9" t="inlineStr">
        <is>
          <t>Aggregating data across entities</t>
        </is>
      </c>
      <c r="N38" s="9" t="n"/>
      <c r="O38" s="16" t="inlineStr">
        <is>
          <t>Done</t>
        </is>
      </c>
    </row>
    <row r="39" ht="186.4" customHeight="1" s="20">
      <c r="A39" s="7" t="inlineStr">
        <is>
          <t>US-071</t>
        </is>
      </c>
      <c r="B39" s="9" t="inlineStr">
        <is>
          <t>E7</t>
        </is>
      </c>
      <c r="C39" s="9" t="inlineStr">
        <is>
          <t>Barter with rival clans</t>
        </is>
      </c>
      <c r="D39" s="9" t="inlineStr">
        <is>
          <t>As a player, I want to exchange goods with other clans and track debts, so that Trade becomes a path to leadership.</t>
        </is>
      </c>
      <c r="E39" s="9" t="inlineStr">
        <is>
          <t>Scenario: Barter
  Given my clan has 10 furs and a rival values furs
  When I offer 5 furs for 3 flint tools
  Then the rival accepts or counters based on its needs
Scenario: Debt
  Given a rival accepts goods now for payment later
  When the deal closes
  Then a debt is recorded and counts toward my Trade dominion
Scenario: Default
  Given a debt past its due date
  When the day ends
  Then the rival's relationship and my Trade dominion react as configured</t>
        </is>
      </c>
      <c r="F39" s="9" t="inlineStr">
        <is>
          <t>Must</t>
        </is>
      </c>
      <c r="G39" s="9" t="inlineStr">
        <is>
          <t>L</t>
        </is>
      </c>
      <c r="H39" s="9">
        <f>VLOOKUP(G39,'Read Me'!$A$13:$C$15,2,FALSE)</f>
        <v/>
      </c>
      <c r="I39" s="9">
        <f>VLOOKUP(G39,'Read Me'!$A$13:$C$15,3,FALSE)</f>
        <v/>
      </c>
      <c r="J39" s="9" t="inlineStr">
        <is>
          <t>M5</t>
        </is>
      </c>
      <c r="K39" s="9" t="inlineStr">
        <is>
          <t>US-070, US-042</t>
        </is>
      </c>
      <c r="L39" s="9" t="inlineStr">
        <is>
          <t>PIL-02, MVP-08</t>
        </is>
      </c>
      <c r="M39" s="9" t="inlineStr">
        <is>
          <t>Integer arithmetic for goods (no floats)</t>
        </is>
      </c>
      <c r="N39" s="9" t="n"/>
      <c r="O39" s="16" t="inlineStr">
        <is>
          <t>Done</t>
        </is>
      </c>
    </row>
    <row r="40" ht="186.4" customHeight="1" s="20">
      <c r="A40" s="7" t="inlineStr">
        <is>
          <t>US-072</t>
        </is>
      </c>
      <c r="B40" s="9" t="inlineStr">
        <is>
          <t>E7</t>
        </is>
      </c>
      <c r="C40" s="9" t="inlineStr">
        <is>
          <t>Found a sacred fire and gather followers</t>
        </is>
      </c>
      <c r="D40" s="9" t="inlineStr">
        <is>
          <t>As a player, I want to found a named sacred fire and hold rituals that attract followers, so that Religion becomes a path to leadership.</t>
        </is>
      </c>
      <c r="E40" s="9" t="inlineStr">
        <is>
          <t>Scenario: Found
  Given Shaman-healer specialty or Fire-keeping skill 3+
  When I found a sacred fire and name it
  Then it appears on the map with my custom name
Scenario: Ritual
  Given a sacred fire
  When I hold a ritual with 5+ attendees
  Then attendees' faith grows and some rivals may convert over time
Scenario: Neglect
  Given a sacred fire untended for the configured days
  When time passes
  Then it goes out and followers lose faith</t>
        </is>
      </c>
      <c r="F40" s="9" t="inlineStr">
        <is>
          <t>Must</t>
        </is>
      </c>
      <c r="G40" s="9" t="inlineStr">
        <is>
          <t>L</t>
        </is>
      </c>
      <c r="H40" s="9">
        <f>VLOOKUP(G40,'Read Me'!$A$13:$C$15,2,FALSE)</f>
        <v/>
      </c>
      <c r="I40" s="9">
        <f>VLOOKUP(G40,'Read Me'!$A$13:$C$15,3,FALSE)</f>
        <v/>
      </c>
      <c r="J40" s="9" t="inlineStr">
        <is>
          <t>M5</t>
        </is>
      </c>
      <c r="K40" s="9" t="inlineStr">
        <is>
          <t>US-070, US-060</t>
        </is>
      </c>
      <c r="L40" s="9" t="inlineStr">
        <is>
          <t>PIL-04, MVP-08</t>
        </is>
      </c>
      <c r="M40" s="9" t="inlineStr">
        <is>
          <t>Events and timers</t>
        </is>
      </c>
      <c r="N40" s="9" t="n"/>
      <c r="O40" s="16" t="inlineStr">
        <is>
          <t>Done</t>
        </is>
      </c>
    </row>
    <row r="41" ht="124.15" customHeight="1" s="20">
      <c r="A41" s="7" t="inlineStr">
        <is>
          <t>US-073</t>
        </is>
      </c>
      <c r="B41" s="9" t="inlineStr">
        <is>
          <t>E7</t>
        </is>
      </c>
      <c r="C41" s="9" t="inlineStr">
        <is>
          <t>Win by leading the region</t>
        </is>
      </c>
      <c r="D41" s="9" t="inlineStr">
        <is>
          <t>As a player, I want to win when my clan dominates the region, so that the run has a satisfying goal.</t>
        </is>
      </c>
      <c r="E41" s="9" t="inlineStr">
        <is>
          <t>Scenario: Win
  Given Trade or Religion dominion reaches 60%, or combined reaches 50%
  When the day ends
  Then a victory screen shows the chronicle highlights and my specialty
Scenario: Lose
  Given my clan drops below 3 members
  When the day ends
  Then the run ends as a loss with a summary</t>
        </is>
      </c>
      <c r="F41" s="9" t="inlineStr">
        <is>
          <t>Must</t>
        </is>
      </c>
      <c r="G41" s="9" t="inlineStr">
        <is>
          <t>S</t>
        </is>
      </c>
      <c r="H41" s="9">
        <f>VLOOKUP(G41,'Read Me'!$A$13:$C$15,2,FALSE)</f>
        <v/>
      </c>
      <c r="I41" s="9">
        <f>VLOOKUP(G41,'Read Me'!$A$13:$C$15,3,FALSE)</f>
        <v/>
      </c>
      <c r="J41" s="9" t="inlineStr">
        <is>
          <t>M5</t>
        </is>
      </c>
      <c r="K41" s="9" t="inlineStr">
        <is>
          <t>US-070, US-071, US-072, D-10</t>
        </is>
      </c>
      <c r="L41" s="9" t="inlineStr">
        <is>
          <t>ENV-05, MVP-09</t>
        </is>
      </c>
      <c r="M41" s="9" t="inlineStr">
        <is>
          <t>Game-over states</t>
        </is>
      </c>
      <c r="N41" s="9" t="n"/>
      <c r="O41" s="16" t="inlineStr">
        <is>
          <t>Done</t>
        </is>
      </c>
    </row>
    <row r="42" ht="186.4" customHeight="1" s="20">
      <c r="A42" s="7" t="inlineStr">
        <is>
          <t>US-080</t>
        </is>
      </c>
      <c r="B42" s="9" t="inlineStr">
        <is>
          <t>E8</t>
        </is>
      </c>
      <c r="C42" s="9" t="inlineStr">
        <is>
          <t>Autosave and keep backups</t>
        </is>
      </c>
      <c r="D42" s="9" t="inlineStr">
        <is>
          <t>As a player, I want the game to autosave and keep backups, so that I never lose more than a few minutes.</t>
        </is>
      </c>
      <c r="E42" s="9" t="inlineStr">
        <is>
          <t>Scenario: Autosave
  Given the game is running
  When an in-game day ends
  Then it autosaves with under 200 ms of stutter
Scenario: Backups
  Given four saves have been written
  When I look in the save folder
  Then the latest save plus 3 backups exist
Scenario: Corrupt
  Given the latest save is corrupted
  When I load
  Then the newest valid backup loads and a message explains what happened</t>
        </is>
      </c>
      <c r="F42" s="9" t="inlineStr">
        <is>
          <t>Must</t>
        </is>
      </c>
      <c r="G42" s="9" t="inlineStr">
        <is>
          <t>M</t>
        </is>
      </c>
      <c r="H42" s="9">
        <f>VLOOKUP(G42,'Read Me'!$A$13:$C$15,2,FALSE)</f>
        <v/>
      </c>
      <c r="I42" s="9">
        <f>VLOOKUP(G42,'Read Me'!$A$13:$C$15,3,FALSE)</f>
        <v/>
      </c>
      <c r="J42" s="9" t="inlineStr">
        <is>
          <t>M4</t>
        </is>
      </c>
      <c r="K42" s="9" t="inlineStr">
        <is>
          <t>US-016</t>
        </is>
      </c>
      <c r="L42" s="9" t="inlineStr">
        <is>
          <t>ADR-010, NFR-05</t>
        </is>
      </c>
      <c r="M42" s="9" t="inlineStr">
        <is>
          <t>Atomic file writes</t>
        </is>
      </c>
      <c r="N42" s="9" t="n"/>
      <c r="O42" s="16" t="inlineStr">
        <is>
          <t>Done</t>
        </is>
      </c>
    </row>
    <row r="43" ht="124.15" customHeight="1" s="20">
      <c r="A43" s="7" t="inlineStr">
        <is>
          <t>US-081</t>
        </is>
      </c>
      <c r="B43" s="9" t="inlineStr">
        <is>
          <t>E8</t>
        </is>
      </c>
      <c r="C43" s="9" t="inlineStr">
        <is>
          <t>Change basic settings</t>
        </is>
      </c>
      <c r="D43" s="9" t="inlineStr">
        <is>
          <t>As a player, I want to set window mode, resolution and volume, so that the game fits my screen and ears.</t>
        </is>
      </c>
      <c r="E43" s="9" t="inlineStr">
        <is>
          <t>Scenario: Apply
  Given the Settings screen
  When I switch to fullscreen
  Then the change applies immediately and is remembered next launch
Scenario: Reset
  Given invalid values in settings.json
  When the game starts
  Then defaults are used and the file is rewritten</t>
        </is>
      </c>
      <c r="F43" s="9" t="inlineStr">
        <is>
          <t>Should</t>
        </is>
      </c>
      <c r="G43" s="9" t="inlineStr">
        <is>
          <t>S</t>
        </is>
      </c>
      <c r="H43" s="9">
        <f>VLOOKUP(G43,'Read Me'!$A$13:$C$15,2,FALSE)</f>
        <v/>
      </c>
      <c r="I43" s="9">
        <f>VLOOKUP(G43,'Read Me'!$A$13:$C$15,3,FALSE)</f>
        <v/>
      </c>
      <c r="J43" s="9" t="inlineStr">
        <is>
          <t>M5</t>
        </is>
      </c>
      <c r="K43" s="9" t="inlineStr">
        <is>
          <t>US-020</t>
        </is>
      </c>
      <c r="L43" s="9" t="inlineStr">
        <is>
          <t>Architecture 7.8</t>
        </is>
      </c>
      <c r="M43" s="9" t="inlineStr">
        <is>
          <t>Reading and writing settings</t>
        </is>
      </c>
      <c r="N43" s="9" t="n"/>
      <c r="O43" s="16" t="inlineStr">
        <is>
          <t>Done</t>
        </is>
      </c>
    </row>
    <row r="44" ht="124.15" customHeight="1" s="20">
      <c r="A44" s="7" t="inlineStr">
        <is>
          <t>US-082</t>
        </is>
      </c>
      <c r="B44" s="9" t="inlineStr">
        <is>
          <t>E8</t>
        </is>
      </c>
      <c r="C44" s="9" t="inlineStr">
        <is>
          <t>Keep within the performance budget</t>
        </is>
      </c>
      <c r="D44" s="9" t="inlineStr">
        <is>
          <t>As a developer, I want an FPS and tick-time overlay and a performance test, so that I notice slowdowns the day I cause them.</t>
        </is>
      </c>
      <c r="E44" s="9" t="inlineStr">
        <is>
          <t>Scenario: Overlay
  Given the Debug overlay enabled
  When the game runs
  Then FPS, frame time and simulation tick time are shown
Scenario: Budget
  Given 500 simulated agents in the region on the minimum PC
  When the game runs for 5 minutes
  Then it averages 60 FPS and ticks stay under 10 ms</t>
        </is>
      </c>
      <c r="F44" s="9" t="inlineStr">
        <is>
          <t>Must</t>
        </is>
      </c>
      <c r="G44" s="9" t="inlineStr">
        <is>
          <t>S</t>
        </is>
      </c>
      <c r="H44" s="9">
        <f>VLOOKUP(G44,'Read Me'!$A$13:$C$15,2,FALSE)</f>
        <v/>
      </c>
      <c r="I44" s="9">
        <f>VLOOKUP(G44,'Read Me'!$A$13:$C$15,3,FALSE)</f>
        <v/>
      </c>
      <c r="J44" s="9" t="inlineStr">
        <is>
          <t>M5</t>
        </is>
      </c>
      <c r="K44" s="9" t="inlineStr">
        <is>
          <t>US-032, US-042, D-06</t>
        </is>
      </c>
      <c r="L44" s="9" t="inlineStr">
        <is>
          <t>NFR-03</t>
        </is>
      </c>
      <c r="M44" s="9" t="inlineStr">
        <is>
          <t>Profiling with Tracy</t>
        </is>
      </c>
      <c r="N44" s="9" t="n"/>
      <c r="O44" s="16" t="inlineStr">
        <is>
          <t>Done</t>
        </is>
      </c>
    </row>
    <row r="45" ht="186.4" customHeight="1" s="20">
      <c r="A45" s="7" t="inlineStr">
        <is>
          <t>US-083</t>
        </is>
      </c>
      <c r="B45" s="9" t="inlineStr">
        <is>
          <t>E8</t>
        </is>
      </c>
      <c r="C45" s="9" t="inlineStr">
        <is>
          <t>Inspect and control the world with dev tools</t>
        </is>
      </c>
      <c r="D45" s="9" t="inlineStr">
        <is>
          <t>As a developer, I want Dear ImGui panels to inspect any person and control time, so that I can understand and tune the simulation live.</t>
        </is>
      </c>
      <c r="E45" s="9" t="inlineStr">
        <is>
          <t>Scenario: Inspect
  Given the dev tools open
  When I click a person
  Then their needs, memories, relationships and AI scores are shown
Scenario: Time
  Given the dev tools
  When I set speed to 16x or skip a day
  Then the simulation advances accordingly
Scenario: Release
  Given a Release build
  When I press the dev-tools key
  Then nothing opens</t>
        </is>
      </c>
      <c r="F45" s="9" t="inlineStr">
        <is>
          <t>Should</t>
        </is>
      </c>
      <c r="G45" s="9" t="inlineStr">
        <is>
          <t>M</t>
        </is>
      </c>
      <c r="H45" s="9">
        <f>VLOOKUP(G45,'Read Me'!$A$13:$C$15,2,FALSE)</f>
        <v/>
      </c>
      <c r="I45" s="9">
        <f>VLOOKUP(G45,'Read Me'!$A$13:$C$15,3,FALSE)</f>
        <v/>
      </c>
      <c r="J45" s="9" t="inlineStr">
        <is>
          <t>M4</t>
        </is>
      </c>
      <c r="K45" s="9" t="inlineStr">
        <is>
          <t>US-032</t>
        </is>
      </c>
      <c r="L45" s="9" t="inlineStr">
        <is>
          <t>ADR-015, learning stage 8</t>
        </is>
      </c>
      <c r="M45" s="9" t="inlineStr">
        <is>
          <t>Immediate-mode UI</t>
        </is>
      </c>
      <c r="N45" s="9" t="n"/>
      <c r="O45" s="16" t="inlineStr">
        <is>
          <t>Done</t>
        </is>
      </c>
    </row>
    <row r="46" ht="186.4" customHeight="1" s="20">
      <c r="A46" s="7" t="inlineStr">
        <is>
          <t>US-090</t>
        </is>
      </c>
      <c r="B46" s="9" t="inlineStr">
        <is>
          <t>E9</t>
        </is>
      </c>
      <c r="C46" s="9" t="inlineStr">
        <is>
          <t>Learn the game in the first ten minutes</t>
        </is>
      </c>
      <c r="D46" s="9" t="inlineStr">
        <is>
          <t>As a playtester, I want a clan elder to guide me through my first day, so that I can play without reading a manual.</t>
        </is>
      </c>
      <c r="E46" s="9" t="inlineStr">
        <is>
          <t>Scenario: Guide
  Given a new game with tutorial on
  When I start
  Then the elder prompts me to gather, eat, and tend the fire in order, one step at a time
Scenario: Skip
  Given tutorial off in New Game
  When I start
  Then no prompts appear
Scenario: Stuck
  Given I have not completed a prompt for 2 minutes
  When time passes
  Then the elder gives a hint</t>
        </is>
      </c>
      <c r="F46" s="9" t="inlineStr">
        <is>
          <t>Should</t>
        </is>
      </c>
      <c r="G46" s="9" t="inlineStr">
        <is>
          <t>M</t>
        </is>
      </c>
      <c r="H46" s="9">
        <f>VLOOKUP(G46,'Read Me'!$A$13:$C$15,2,FALSE)</f>
        <v/>
      </c>
      <c r="I46" s="9">
        <f>VLOOKUP(G46,'Read Me'!$A$13:$C$15,3,FALSE)</f>
        <v/>
      </c>
      <c r="J46" s="9" t="inlineStr">
        <is>
          <t>M6</t>
        </is>
      </c>
      <c r="K46" s="9" t="inlineStr">
        <is>
          <t>US-061, D-11</t>
        </is>
      </c>
      <c r="L46" s="9" t="inlineStr">
        <is>
          <t>UX, NA (story)</t>
        </is>
      </c>
      <c r="M46" s="9" t="inlineStr">
        <is>
          <t>Scripted sequences as data</t>
        </is>
      </c>
      <c r="N46" s="9" t="n"/>
      <c r="O46" s="16" t="inlineStr">
        <is>
          <t>Done</t>
        </is>
      </c>
    </row>
    <row r="47" ht="124.15" customHeight="1" s="20">
      <c r="A47" s="7" t="inlineStr">
        <is>
          <t>US-091</t>
        </is>
      </c>
      <c r="B47" s="9" t="inlineStr">
        <is>
          <t>E9</t>
        </is>
      </c>
      <c r="C47" s="9" t="inlineStr">
        <is>
          <t>Install and run the playtest build</t>
        </is>
      </c>
      <c r="D47" s="9" t="inlineStr">
        <is>
          <t>As a playtester, I want a zip I can unpack and run, so that I can try the game without technical help.</t>
        </is>
      </c>
      <c r="E47" s="9" t="inlineStr">
        <is>
          <t>Scenario: Run
  Given a Windows 10/11 x64 PC without developer tools
  When I unzip and run odysseus.exe
  Then the game starts with no missing-DLL errors
Scenario: Crash
  Given a crash during play
  When it happens
  Then a crash log and the last save are written to the per-user folder for sending</t>
        </is>
      </c>
      <c r="F47" s="9" t="inlineStr">
        <is>
          <t>Must</t>
        </is>
      </c>
      <c r="G47" s="9" t="inlineStr">
        <is>
          <t>S</t>
        </is>
      </c>
      <c r="H47" s="9">
        <f>VLOOKUP(G47,'Read Me'!$A$13:$C$15,2,FALSE)</f>
        <v/>
      </c>
      <c r="I47" s="9">
        <f>VLOOKUP(G47,'Read Me'!$A$13:$C$15,3,FALSE)</f>
        <v/>
      </c>
      <c r="J47" s="9" t="inlineStr">
        <is>
          <t>M6</t>
        </is>
      </c>
      <c r="K47" s="9" t="inlineStr">
        <is>
          <t>US-004, US-080</t>
        </is>
      </c>
      <c r="L47" s="9" t="inlineStr">
        <is>
          <t>PLT-01</t>
        </is>
      </c>
      <c r="M47" s="9" t="inlineStr">
        <is>
          <t>Release builds and packaging</t>
        </is>
      </c>
      <c r="N47" s="9" t="n"/>
      <c r="O47" s="16" t="inlineStr">
        <is>
          <t>Done</t>
        </is>
      </c>
    </row>
    <row r="48" ht="124.15" customHeight="1" s="20">
      <c r="A48" s="7" t="inlineStr">
        <is>
          <t>US-092</t>
        </is>
      </c>
      <c r="B48" s="9" t="inlineStr">
        <is>
          <t>E9</t>
        </is>
      </c>
      <c r="C48" s="9" t="inlineStr">
        <is>
          <t>Record local session statistics</t>
        </is>
      </c>
      <c r="D48" s="9" t="inlineStr">
        <is>
          <t>As a developer, I want an opt-in local log of session length and key events, so that I can measure the MVP success criteria honestly.</t>
        </is>
      </c>
      <c r="E48" s="9" t="inlineStr">
        <is>
          <t>Scenario: Opt-in
  Given first launch
  When the game asks about session statistics
  Then nothing is recorded unless I agree
Scenario: Local only
  Given statistics enabled
  When a session ends
  Then a file with play time and key events is written locally and nothing is sent anywhere</t>
        </is>
      </c>
      <c r="F48" s="9" t="inlineStr">
        <is>
          <t>Should</t>
        </is>
      </c>
      <c r="G48" s="9" t="inlineStr">
        <is>
          <t>S</t>
        </is>
      </c>
      <c r="H48" s="9">
        <f>VLOOKUP(G48,'Read Me'!$A$13:$C$15,2,FALSE)</f>
        <v/>
      </c>
      <c r="I48" s="9">
        <f>VLOOKUP(G48,'Read Me'!$A$13:$C$15,3,FALSE)</f>
        <v/>
      </c>
      <c r="J48" s="9" t="inlineStr">
        <is>
          <t>M6</t>
        </is>
      </c>
      <c r="K48" s="9" t="inlineStr">
        <is>
          <t>US-091</t>
        </is>
      </c>
      <c r="L48" s="9" t="inlineStr">
        <is>
          <t>MVP success criteria, ARC-04</t>
        </is>
      </c>
      <c r="M48" s="9" t="inlineStr">
        <is>
          <t>Privacy by design</t>
        </is>
      </c>
      <c r="N48" s="9" t="n"/>
      <c r="O48" s="16" t="inlineStr">
        <is>
          <t>Done</t>
        </is>
      </c>
    </row>
    <row r="49" ht="124.15" customHeight="1" s="20">
      <c r="A49" s="7" t="inlineStr">
        <is>
          <t>US-025</t>
        </is>
      </c>
      <c r="B49" s="9" t="inlineStr">
        <is>
          <t>E10</t>
        </is>
      </c>
      <c r="C49" s="9" t="inlineStr">
        <is>
          <t>Build deterministic 3D math</t>
        </is>
      </c>
      <c r="D49" s="9" t="inlineStr">
        <is>
          <t>As a developer, I want fixed-point numbers, 3D vectors and rotations in Luna Physics, so that physics gives identical results on every computer and every run.</t>
        </is>
      </c>
      <c r="E49" s="9" t="inlineStr">
        <is>
          <t>Scenario: Exact arithmetic
  Given two fixed-point values
  When they are added, multiplied and divided
  Then the results equal the expected values bit for bit in Debug, Release and CI
Scenario: Rotations
  Given a vector rotated by 90 degrees about the up axis four times
  When the rotations are applied as quaternions
  Then it returns to the starting vector within 1/65536 of a unit
Scenario: Determinism
  Given two runs of 1,000,000 mixed math operations with the same inputs
  When both finish
  Then both produce the same hash</t>
        </is>
      </c>
      <c r="F49" s="9" t="inlineStr">
        <is>
          <t>Must</t>
        </is>
      </c>
      <c r="G49" s="9" t="inlineStr">
        <is>
          <t>M</t>
        </is>
      </c>
      <c r="H49" s="9">
        <f>VLOOKUP(G49,'Read Me'!$A$13:$C$15,2,FALSE)</f>
        <v/>
      </c>
      <c r="I49" s="9">
        <f>VLOOKUP(G49,'Read Me'!$A$13:$C$15,3,FALSE)</f>
        <v/>
      </c>
      <c r="J49" s="9" t="inlineStr">
        <is>
          <t>M1b</t>
        </is>
      </c>
      <c r="K49" s="9" t="inlineStr">
        <is>
          <t>US-003</t>
        </is>
      </c>
      <c r="L49" s="9" t="inlineStr">
        <is>
          <t>PHY-01, ARC-10, ADR-017</t>
        </is>
      </c>
      <c r="M49" s="9" t="inlineStr">
        <is>
          <t>Fixed-point arithmetic; operator overloading; quaternions</t>
        </is>
      </c>
      <c r="N49" s="9" t="n"/>
      <c r="O49" s="16" t="inlineStr">
        <is>
          <t>Done</t>
        </is>
      </c>
    </row>
    <row r="50" ht="124.15" customHeight="1" s="20">
      <c r="A50" s="7" t="inlineStr">
        <is>
          <t>US-026</t>
        </is>
      </c>
      <c r="B50" s="9" t="inlineStr">
        <is>
          <t>E10</t>
        </is>
      </c>
      <c r="C50" s="9" t="inlineStr">
        <is>
          <t>Detect hits between shapes</t>
        </is>
      </c>
      <c r="D50" s="9" t="inlineStr">
        <is>
          <t>As a developer, I want spheres, capsules and boxes to report overlaps, ray hits and swept hits, so that every hit is found and a fast spear never passes through its target.</t>
        </is>
      </c>
      <c r="E50" s="9" t="inlineStr">
        <is>
          <t>Scenario: Overlap
  Given a sphere and a box that touch
  When their overlap is tested
  Then a hit is reported with the contact point and normal
Scenario: No tunnelling
  Given a projectile moving 10 m per tick towards a 0.2 m target
  When its path is swept
  Then the hit is found at the correct time of impact
Scenario: Many bodies
  Given 1,000 bodies in a region
  When one physics step checks them through the spatial grid
  Then only nearby pairs are tested and the step takes under 2 ms on the development PC</t>
        </is>
      </c>
      <c r="F50" s="9" t="inlineStr">
        <is>
          <t>Must</t>
        </is>
      </c>
      <c r="G50" s="9" t="inlineStr">
        <is>
          <t>L</t>
        </is>
      </c>
      <c r="H50" s="9">
        <f>VLOOKUP(G50,'Read Me'!$A$13:$C$15,2,FALSE)</f>
        <v/>
      </c>
      <c r="I50" s="9">
        <f>VLOOKUP(G50,'Read Me'!$A$13:$C$15,3,FALSE)</f>
        <v/>
      </c>
      <c r="J50" s="9" t="inlineStr">
        <is>
          <t>M1b</t>
        </is>
      </c>
      <c r="K50" s="9" t="inlineStr">
        <is>
          <t>US-025</t>
        </is>
      </c>
      <c r="L50" s="9" t="inlineStr">
        <is>
          <t>PHY-02, ARC-10</t>
        </is>
      </c>
      <c r="M50" s="9" t="inlineStr">
        <is>
          <t>Structs and pure functions; geometry; spatial grids</t>
        </is>
      </c>
      <c r="N50" s="9" t="n"/>
      <c r="O50" s="16" t="inlineStr">
        <is>
          <t>Done</t>
        </is>
      </c>
    </row>
    <row r="51" ht="124.15" customHeight="1" s="20">
      <c r="A51" s="7" t="inlineStr">
        <is>
          <t>US-027</t>
        </is>
      </c>
      <c r="B51" s="9" t="inlineStr">
        <is>
          <t>E10</t>
        </is>
      </c>
      <c r="C51" s="9" t="inlineStr">
        <is>
          <t>Fly projectiles with real ballistics</t>
        </is>
      </c>
      <c r="D51" s="9" t="inlineStr">
        <is>
          <t>As a hunter, I want thrown spears and darts to fly in true arcs under gravity, drag and wind, so that aim, strength and distance matter.</t>
        </is>
      </c>
      <c r="E51" s="9" t="inlineStr">
        <is>
          <t>Scenario: Arc
  Given a spear thrown at 45 degrees and 20 m/s over flat ground without drag
  When it lands
  Then its range is v^2/g = 40.8 m within 1%
Scenario: Drag and wind
  Given the same throw with air drag and a crosswind
  When it lands
  Then it falls short and drifts downwind by the amounts the formulas predict
Scenario: Aim
  Given a target 25 m away
  When the aim solver computes the launch angle for a given speed
  Then the thrown projectile hits the target</t>
        </is>
      </c>
      <c r="F51" s="9" t="inlineStr">
        <is>
          <t>Must</t>
        </is>
      </c>
      <c r="G51" s="9" t="inlineStr">
        <is>
          <t>M</t>
        </is>
      </c>
      <c r="H51" s="9">
        <f>VLOOKUP(G51,'Read Me'!$A$13:$C$15,2,FALSE)</f>
        <v/>
      </c>
      <c r="I51" s="9">
        <f>VLOOKUP(G51,'Read Me'!$A$13:$C$15,3,FALSE)</f>
        <v/>
      </c>
      <c r="J51" s="9" t="inlineStr">
        <is>
          <t>M1b</t>
        </is>
      </c>
      <c r="K51" s="9" t="inlineStr">
        <is>
          <t>US-026</t>
        </is>
      </c>
      <c r="L51" s="9" t="inlineStr">
        <is>
          <t>PHY-03, ADR-017</t>
        </is>
      </c>
      <c r="M51" s="9" t="inlineStr">
        <is>
          <t>Numerical integration; units</t>
        </is>
      </c>
      <c r="N51" s="9" t="n"/>
      <c r="O51" s="16" t="inlineStr">
        <is>
          <t>Done</t>
        </is>
      </c>
    </row>
    <row r="52" ht="124.15" customHeight="1" s="20">
      <c r="A52" s="7" t="inlineStr">
        <is>
          <t>US-028</t>
        </is>
      </c>
      <c r="B52" s="9" t="inlineStr">
        <is>
          <t>E10</t>
        </is>
      </c>
      <c r="C52" s="9" t="inlineStr">
        <is>
          <t>Push and bounce bodies</t>
        </is>
      </c>
      <c r="D52" s="9" t="inlineStr">
        <is>
          <t>As a player, I want bodies to have mass, be pushed, slide, bounce and come to rest, so that knockback and thrown or falling objects feel physical.</t>
        </is>
      </c>
      <c r="E52" s="9" t="inlineStr">
        <is>
          <t>Scenario: Impulse
  Given a 70 kg body at rest
  When an impulse of 140 N s pushes it
  Then its velocity becomes 2 m/s in the impulse direction
Scenario: Bounce and rest
  Given a ball dropped onto the ground with restitution 0.5
  When it bounces
  Then each bounce reaches a quarter of the previous height and it comes to rest
Scenario: Friction
  Given a crate sliding on grass
  When no force pushes it any more
  Then it stops within the distance friction predicts</t>
        </is>
      </c>
      <c r="F52" s="9" t="inlineStr">
        <is>
          <t>Must</t>
        </is>
      </c>
      <c r="G52" s="9" t="inlineStr">
        <is>
          <t>M</t>
        </is>
      </c>
      <c r="H52" s="9">
        <f>VLOOKUP(G52,'Read Me'!$A$13:$C$15,2,FALSE)</f>
        <v/>
      </c>
      <c r="I52" s="9">
        <f>VLOOKUP(G52,'Read Me'!$A$13:$C$15,3,FALSE)</f>
        <v/>
      </c>
      <c r="J52" s="9" t="inlineStr">
        <is>
          <t>M1b</t>
        </is>
      </c>
      <c r="K52" s="9" t="inlineStr">
        <is>
          <t>US-026</t>
        </is>
      </c>
      <c r="L52" s="9" t="inlineStr">
        <is>
          <t>PHY-04, ADR-017</t>
        </is>
      </c>
      <c r="M52" s="9" t="inlineStr">
        <is>
          <t>Classes with invariants; fixed-timestep integration</t>
        </is>
      </c>
      <c r="N52" s="9" t="n"/>
      <c r="O52" s="16" t="inlineStr">
        <is>
          <t>Done</t>
        </is>
      </c>
    </row>
    <row r="53" ht="124.15" customHeight="1" s="20">
      <c r="A53" s="7" t="inlineStr">
        <is>
          <t>US-029</t>
        </is>
      </c>
      <c r="B53" s="9" t="inlineStr">
        <is>
          <t>E10</t>
        </is>
      </c>
      <c r="C53" s="9" t="inlineStr">
        <is>
          <t>Throw a spear in the demo</t>
        </is>
      </c>
      <c r="D53" s="9" t="inlineStr">
        <is>
          <t>As a player, I want to throw a spear at a target in the walking skeleton, so that Luna Physics is proven end to end in the real game.</t>
        </is>
      </c>
      <c r="E53" s="9" t="inlineStr">
        <is>
          <t>Scenario: Throw
  Given the hero facing a straw target 8 tiles away
  When I press Interact
  Then a spear flies in a visible arc with a shadow and hits the target
Scenario: Material
  Given a flint-tipped and a wooden spear (materials.json)
  When each hits the target
  Then the damage differs by the materials' hardness and density as configured
Scenario: Blocked
  Given a target behind a rock
  When I throw at it
  Then the spear hits the rock and stops; the target is unharmed</t>
        </is>
      </c>
      <c r="F53" s="9" t="inlineStr">
        <is>
          <t>Must</t>
        </is>
      </c>
      <c r="G53" s="9" t="inlineStr">
        <is>
          <t>M</t>
        </is>
      </c>
      <c r="H53" s="9">
        <f>VLOOKUP(G53,'Read Me'!$A$13:$C$15,2,FALSE)</f>
        <v/>
      </c>
      <c r="I53" s="9">
        <f>VLOOKUP(G53,'Read Me'!$A$13:$C$15,3,FALSE)</f>
        <v/>
      </c>
      <c r="J53" s="9" t="inlineStr">
        <is>
          <t>M1b</t>
        </is>
      </c>
      <c r="K53" s="9" t="inlineStr">
        <is>
          <t>US-024, US-027, US-028</t>
        </is>
      </c>
      <c r="L53" s="9" t="inlineStr">
        <is>
          <t>PHY-02, PHY-03, PHY-05</t>
        </is>
      </c>
      <c r="M53" s="9" t="inlineStr">
        <is>
          <t>Putting it together; content as data (materials.json)</t>
        </is>
      </c>
      <c r="N53" s="9" t="n"/>
      <c r="O53" s="16" t="inlineStr">
        <is>
          <t>Done</t>
        </is>
      </c>
    </row>
    <row r="54" ht="124.15" customHeight="1" s="20">
      <c r="A54" s="7" t="inlineStr">
        <is>
          <t>US-110</t>
        </is>
      </c>
      <c r="B54" s="9" t="inlineStr">
        <is>
          <t>E11</t>
        </is>
      </c>
      <c r="C54" s="9" t="inlineStr">
        <is>
          <t>Give every death and feud a reason</t>
        </is>
      </c>
      <c r="D54" s="9" t="inlineStr">
        <is>
          <t>As a reader, I want every death and feud in the chronicle to say why it happened, so that events connect into a story.</t>
        </is>
      </c>
      <c r="E54" s="9" t="inlineStr">
        <is>
          <t>Scenario: Death with a cause
  Given a person who starves after the food store was robbed or ran empty
  When the death is recorded
  Then the sentence names the cause and the event behind it, e.g. 'Winter, year 74: Hano died of hunger in the hard winter, after Brak stole from the store.'
Scenario: Feud with a reason
  Given two people whose opinions fell through thefts, quarrels or blame
  When their feud begins
  Then the sentence names what turned them, e.g. 'A feud broke out between Tok and Brak over stolen meat.'
Scenario: Traceable
  Given any death or feud in the chronicle
  When I inspect it in the headless runner
  Then it lists the earlier events that caused it</t>
        </is>
      </c>
      <c r="F54" s="9" t="inlineStr">
        <is>
          <t>Must</t>
        </is>
      </c>
      <c r="G54" s="9" t="inlineStr">
        <is>
          <t>M</t>
        </is>
      </c>
      <c r="H54" s="9">
        <f>VLOOKUP(G54,'Read Me'!$A$13:$C$15,2,FALSE)</f>
        <v/>
      </c>
      <c r="I54" s="9">
        <f>VLOOKUP(G54,'Read Me'!$A$13:$C$15,3,FALSE)</f>
        <v/>
      </c>
      <c r="J54" s="9" t="inlineStr">
        <is>
          <t>M2b</t>
        </is>
      </c>
      <c r="K54" s="9" t="inlineStr">
        <is>
          <t>US-014</t>
        </is>
      </c>
      <c r="L54" s="9" t="inlineStr">
        <is>
          <t>STO-03, NA-02</t>
        </is>
      </c>
      <c r="M54" s="9" t="inlineStr">
        <is>
          <t>Small structs that point to other data (event ids); enums</t>
        </is>
      </c>
      <c r="N54" s="9" t="inlineStr">
        <is>
          <t>Kill Gate 1 pivot (owner, 2026-09-30, D-18)</t>
        </is>
      </c>
      <c r="O54" s="16" t="inlineStr">
        <is>
          <t>Done</t>
        </is>
      </c>
    </row>
    <row r="55" ht="124.15" customHeight="1" s="20">
      <c r="A55" s="7" t="inlineStr">
        <is>
          <t>US-111</t>
        </is>
      </c>
      <c r="B55" s="9" t="inlineStr">
        <is>
          <t>E11</t>
        </is>
      </c>
      <c r="C55" s="9" t="inlineStr">
        <is>
          <t>Quarrel, blame and take revenge</t>
        </is>
      </c>
      <c r="D55" s="9" t="inlineStr">
        <is>
          <t>As a player, I want people to quarrel, blame each other for losses and seek revenge, so that conflicts have causes and consequences.</t>
        </is>
      </c>
      <c r="E55" s="9" t="inlineStr">
        <is>
          <t>Scenario: Quarrel
  Given two tired or hungry people who dislike each other
  When they meet
  Then they may quarrel; both remember it and think less of each other
Scenario: Blame
  Given a person whose close kin died after a theft they know of, or on a hunt someone led
  When they grieve
  Then they blame the person linked to the cause and remember it for life
Scenario: Revenge
  Given a feud that keeps worsening
  When revenge is taken
  Then it ends in a fight (injury or death) or the clan exiles the aggressor, and the chronicle tells which and why</t>
        </is>
      </c>
      <c r="F55" s="9" t="inlineStr">
        <is>
          <t>Must</t>
        </is>
      </c>
      <c r="G55" s="9" t="inlineStr">
        <is>
          <t>L</t>
        </is>
      </c>
      <c r="H55" s="9">
        <f>VLOOKUP(G55,'Read Me'!$A$13:$C$15,2,FALSE)</f>
        <v/>
      </c>
      <c r="I55" s="9">
        <f>VLOOKUP(G55,'Read Me'!$A$13:$C$15,3,FALSE)</f>
        <v/>
      </c>
      <c r="J55" s="9" t="inlineStr">
        <is>
          <t>M2b</t>
        </is>
      </c>
      <c r="K55" s="9" t="inlineStr">
        <is>
          <t>US-110</t>
        </is>
      </c>
      <c r="L55" s="9" t="inlineStr">
        <is>
          <t>SDC-02, GD-03</t>
        </is>
      </c>
      <c r="M55" s="9" t="inlineStr">
        <is>
          <t>State machines with enums; std::optional</t>
        </is>
      </c>
      <c r="N55" s="9" t="inlineStr">
        <is>
          <t>Kill Gate 1 pivot (owner, 2026-09-30, D-18)</t>
        </is>
      </c>
      <c r="O55" s="16" t="inlineStr">
        <is>
          <t>Done</t>
        </is>
      </c>
    </row>
    <row r="56" ht="124.15" customHeight="1" s="20">
      <c r="A56" s="7" t="inlineStr">
        <is>
          <t>US-112</t>
        </is>
      </c>
      <c r="B56" s="9" t="inlineStr">
        <is>
          <t>E11</t>
        </is>
      </c>
      <c r="C56" s="9" t="inlineStr">
        <is>
          <t>Share food and nurse the sick</t>
        </is>
      </c>
      <c r="D56" s="9" t="inlineStr">
        <is>
          <t>As a player, I want people to share food in hard times and care for the sick and injured, so that kindness has weight and debts of gratitude form.</t>
        </is>
      </c>
      <c r="E56" s="9" t="inlineStr">
        <is>
          <t>Scenario: Sickness
  Given a person weakened by cold, hunger or a hunting wound
  When sickness or injury strikes
  Then they are sick or injured for some days and may die of it
Scenario: Nursing
  Given a sick person and a kind or close person nearby
  When they are nursed
  Then recovery is likelier and the patient remembers the carer with gratitude
Scenario: Sharing and adoption
  Given a hungry child or an orphan
  When a relative or friend has food or room
  Then they share or adopt, and the one helped remembers it</t>
        </is>
      </c>
      <c r="F56" s="9" t="inlineStr">
        <is>
          <t>Must</t>
        </is>
      </c>
      <c r="G56" s="9" t="inlineStr">
        <is>
          <t>L</t>
        </is>
      </c>
      <c r="H56" s="9">
        <f>VLOOKUP(G56,'Read Me'!$A$13:$C$15,2,FALSE)</f>
        <v/>
      </c>
      <c r="I56" s="9">
        <f>VLOOKUP(G56,'Read Me'!$A$13:$C$15,3,FALSE)</f>
        <v/>
      </c>
      <c r="J56" s="9" t="inlineStr">
        <is>
          <t>M2b</t>
        </is>
      </c>
      <c r="K56" s="9" t="inlineStr">
        <is>
          <t>US-110</t>
        </is>
      </c>
      <c r="L56" s="9" t="inlineStr">
        <is>
          <t>SDC-02</t>
        </is>
      </c>
      <c r="M56" s="9" t="inlineStr">
        <is>
          <t>Standard algorithms: std::find_if, std::max_element, std::sort</t>
        </is>
      </c>
      <c r="N56" s="9" t="inlineStr">
        <is>
          <t>Kill Gate 1 pivot (owner, 2026-09-30, D-18)</t>
        </is>
      </c>
      <c r="O56" s="16" t="inlineStr">
        <is>
          <t>Done</t>
        </is>
      </c>
    </row>
    <row r="57" ht="124.15" customHeight="1" s="20">
      <c r="A57" s="7" t="inlineStr">
        <is>
          <t>US-113</t>
        </is>
      </c>
      <c r="B57" s="9" t="inlineStr">
        <is>
          <t>E11</t>
        </is>
      </c>
      <c r="C57" s="9" t="inlineStr">
        <is>
          <t>Court and compete for a partner</t>
        </is>
      </c>
      <c r="D57" s="9" t="inlineStr">
        <is>
          <t>As a player, I want courtship with rivals and broken pairings, so that love brings drama as well as children.</t>
        </is>
      </c>
      <c r="E57" s="9" t="inlineStr">
        <is>
          <t>Scenario: Courtship
  Given an unpaired adult who favours another
  When they court (gifts, time together)
  Then the other's opinion rises, and they pair only when both agree
Scenario: Rivals
  Given two suitors courting the same person
  When one is chosen
  Then the rivals become jealous and may quarrel, and the one not chosen remembers it
Scenario: Parting
  Given partners whose opinions of each other fall below the parting threshold
  When a day ends
  Then they part, and the chronicle records why</t>
        </is>
      </c>
      <c r="F57" s="9" t="inlineStr">
        <is>
          <t>Must</t>
        </is>
      </c>
      <c r="G57" s="9" t="inlineStr">
        <is>
          <t>M</t>
        </is>
      </c>
      <c r="H57" s="9">
        <f>VLOOKUP(G57,'Read Me'!$A$13:$C$15,2,FALSE)</f>
        <v/>
      </c>
      <c r="I57" s="9">
        <f>VLOOKUP(G57,'Read Me'!$A$13:$C$15,3,FALSE)</f>
        <v/>
      </c>
      <c r="J57" s="9" t="inlineStr">
        <is>
          <t>M2b</t>
        </is>
      </c>
      <c r="K57" s="9" t="inlineStr">
        <is>
          <t>US-111</t>
        </is>
      </c>
      <c r="L57" s="9" t="inlineStr">
        <is>
          <t>SDC-02</t>
        </is>
      </c>
      <c r="M57" s="9" t="inlineStr">
        <is>
          <t>Comparators and ranking (std::sort with a lambda)</t>
        </is>
      </c>
      <c r="N57" s="9" t="inlineStr">
        <is>
          <t>Kill Gate 1 pivot (owner, 2026-09-30, D-18)</t>
        </is>
      </c>
      <c r="O57" s="16" t="inlineStr">
        <is>
          <t>Done</t>
        </is>
      </c>
    </row>
    <row r="58" ht="124.15" customHeight="1" s="20">
      <c r="A58" s="7" t="inlineStr">
        <is>
          <t>US-114</t>
        </is>
      </c>
      <c r="B58" s="9" t="inlineStr">
        <is>
          <t>E11</t>
        </is>
      </c>
      <c r="C58" s="9" t="inlineStr">
        <is>
          <t>Teach the young and hunt together</t>
        </is>
      </c>
      <c r="D58" s="9" t="inlineStr">
        <is>
          <t>As a player, I want masters to teach apprentices and hunters to go out in parties, so that skills pass down and hunts create heroes and cowards.</t>
        </is>
      </c>
      <c r="E58" s="9" t="inlineStr">
        <is>
          <t>Scenario: Apprenticeship
  Given a skilled adult and a youth of working age
  When the adult takes the youth as apprentice
  Then the youth's skill grows faster and they grow close
Scenario: Hunting party
  Given a mammoth sighting
  When a party of 3 to 5 hunters forms and hunts
  Then roles emerge (leader, hero, coward), the outcome depends on the party, and each member remembers what the others did
Scenario: Rescue
  Given a hunter in danger
  When another hunter saves them
  Then the rescued owes a debt of gratitude and the chronicle tells of it</t>
        </is>
      </c>
      <c r="F58" s="9" t="inlineStr">
        <is>
          <t>Must</t>
        </is>
      </c>
      <c r="G58" s="9" t="inlineStr">
        <is>
          <t>L</t>
        </is>
      </c>
      <c r="H58" s="9">
        <f>VLOOKUP(G58,'Read Me'!$A$13:$C$15,2,FALSE)</f>
        <v/>
      </c>
      <c r="I58" s="9">
        <f>VLOOKUP(G58,'Read Me'!$A$13:$C$15,3,FALSE)</f>
        <v/>
      </c>
      <c r="J58" s="9" t="inlineStr">
        <is>
          <t>M2b</t>
        </is>
      </c>
      <c r="K58" s="9" t="inlineStr">
        <is>
          <t>US-111</t>
        </is>
      </c>
      <c r="L58" s="9" t="inlineStr">
        <is>
          <t>SDC-02</t>
        </is>
      </c>
      <c r="M58" s="9" t="inlineStr">
        <is>
          <t>A class that coordinates others (the hunting party)</t>
        </is>
      </c>
      <c r="N58" s="9" t="inlineStr">
        <is>
          <t>Kill Gate 1 pivot (owner, 2026-09-30, D-18)</t>
        </is>
      </c>
      <c r="O58" s="16" t="inlineStr">
        <is>
          <t>Done</t>
        </is>
      </c>
    </row>
    <row r="59" ht="124.15" customHeight="1" s="20">
      <c r="A59" s="7" t="inlineStr">
        <is>
          <t>US-115</t>
        </is>
      </c>
      <c r="B59" s="9" t="inlineStr">
        <is>
          <t>E11</t>
        </is>
      </c>
      <c r="C59" s="9" t="inlineStr">
        <is>
          <t>Tell the clan's story in episodes</t>
        </is>
      </c>
      <c r="D59" s="9" t="inlineStr">
        <is>
          <t>As a reader, I want the chronicle to tell fewer, bigger episodes with a beginning, a turn and an end, so that I can follow the clan's story.</t>
        </is>
      </c>
      <c r="E59" s="9" t="inlineStr">
        <is>
          <t>Scenario: Episode
  Given linked events (a lean autumn, thefts, blame, a feud, deaths)
  When the episode ends
  Then the chronicle writes it as one short named paragraph ('The Hard Winter of year 74') saying who, why and what came of it
Scenario: Fewer, bigger
  Given a 100-year run
  When I print the story
  Then it tells at most 40 episodes, each naming its people and causes, followed by the births, deaths, pairings and feuds with their reasons
Scenario: Both views
  Given the headless runner
  When I ask for the story or for the full chronicle
  Then --story prints the episodes and --chronicle still prints every event</t>
        </is>
      </c>
      <c r="F59" s="9" t="inlineStr">
        <is>
          <t>Must</t>
        </is>
      </c>
      <c r="G59" s="9" t="inlineStr">
        <is>
          <t>L</t>
        </is>
      </c>
      <c r="H59" s="9">
        <f>VLOOKUP(G59,'Read Me'!$A$13:$C$15,2,FALSE)</f>
        <v/>
      </c>
      <c r="I59" s="9">
        <f>VLOOKUP(G59,'Read Me'!$A$13:$C$15,3,FALSE)</f>
        <v/>
      </c>
      <c r="J59" s="9" t="inlineStr">
        <is>
          <t>M2b</t>
        </is>
      </c>
      <c r="K59" s="9" t="inlineStr">
        <is>
          <t>US-110, US-111, US-112, US-113, US-114</t>
        </is>
      </c>
      <c r="L59" s="9" t="inlineStr">
        <is>
          <t>STO-02, STO-03, NA-02</t>
        </is>
      </c>
      <c r="M59" s="9" t="inlineStr">
        <is>
          <t>Designing with data: grouping and summarising</t>
        </is>
      </c>
      <c r="N59" s="9" t="inlineStr">
        <is>
          <t>Kill Gate 1 pivot (owner, 2026-09-30, D-18)</t>
        </is>
      </c>
      <c r="O59" s="16" t="inlineStr">
        <is>
          <t>Done</t>
        </is>
      </c>
    </row>
    <row r="60" ht="124.15" customHeight="1" s="20">
      <c r="A60" s="7" t="inlineStr">
        <is>
          <t>US-120</t>
        </is>
      </c>
      <c r="B60" s="9" t="inlineStr">
        <is>
          <t>E12</t>
        </is>
      </c>
      <c r="C60" s="9" t="inlineStr">
        <is>
          <t>Real art in the game</t>
        </is>
      </c>
      <c r="D60" s="9" t="inlineStr">
        <is>
          <t>As a player, I want the heroes, monsters and ground drawn from the new art, so that the world looks like the game I imagine.</t>
        </is>
      </c>
      <c r="E60" s="9" t="inlineStr">
        <is>
          <t>Scenario: Atlas
Given the owner's sprite sheets in assets/sprites
When the cutter tool runs
Then it writes clean atlases (transparent background, 32x48 characters, 32x32 tiles) from rectangles kept in JSON
Scenario: Heroes and ground
Given the game starts
When the hero walks the test map
Then the hero, the ground tiles and the enemy are drawn from the atlases
Scenario: Missing art
Given an atlas file that is missing or damaged
When the game starts
Then it names the file and falls back to programmer art</t>
        </is>
      </c>
      <c r="F60" s="9" t="inlineStr">
        <is>
          <t>Must</t>
        </is>
      </c>
      <c r="G60" s="9" t="inlineStr">
        <is>
          <t>L</t>
        </is>
      </c>
      <c r="H60" s="9" t="n">
        <v>2</v>
      </c>
      <c r="I60" s="9" t="n">
        <v>4</v>
      </c>
      <c r="J60" s="9" t="inlineStr">
        <is>
          <t>M2c</t>
        </is>
      </c>
      <c r="K60" s="9" t="inlineStr">
        <is>
          <t>-</t>
        </is>
      </c>
      <c r="L60" s="9" t="inlineStr">
        <is>
          <t>D-05, D-19</t>
        </is>
      </c>
      <c r="M60" s="9" t="inlineStr">
        <is>
          <t>Reading binary files; structs of rectangles</t>
        </is>
      </c>
      <c r="N60" s="9" t="inlineStr">
        <is>
          <t>Level editor (owner, 2026-09-30, D-19)</t>
        </is>
      </c>
      <c r="O60" s="16" t="inlineStr">
        <is>
          <t>Done</t>
        </is>
      </c>
    </row>
    <row r="61" ht="124.15" customHeight="1" s="20">
      <c r="A61" s="7" t="inlineStr">
        <is>
          <t>US-121</t>
        </is>
      </c>
      <c r="B61" s="9" t="inlineStr">
        <is>
          <t>E12</t>
        </is>
      </c>
      <c r="C61" s="9" t="inlineStr">
        <is>
          <t>Point, click and read on screen</t>
        </is>
      </c>
      <c r="D61" s="9" t="inlineStr">
        <is>
          <t>As a level designer, I want to point, click and read labels on screen, so that I can use editor tools.</t>
        </is>
      </c>
      <c r="E61" s="9" t="inlineStr">
        <is>
          <t>Scenario: Pointer
Given the mouse moves, clicks or scrolls
When the events arrive
Then the game reads a pointer (position, buttons, wheel), never raw SDL3 events
Scenario: Text
Given any label in printable ASCII
When it is drawn
Then it is readable and pixel-exact at 480x270
Scenario: Widgets
Given a panel with buttons, a list and a number field
When they are clicked or typed into
Then the right action runs (tested headless)</t>
        </is>
      </c>
      <c r="F61" s="9" t="inlineStr">
        <is>
          <t>Must</t>
        </is>
      </c>
      <c r="G61" s="9" t="inlineStr">
        <is>
          <t>M</t>
        </is>
      </c>
      <c r="H61" s="9" t="n">
        <v>1</v>
      </c>
      <c r="I61" s="9" t="n">
        <v>2</v>
      </c>
      <c r="J61" s="9" t="inlineStr">
        <is>
          <t>M2c</t>
        </is>
      </c>
      <c r="K61" s="9" t="inlineStr">
        <is>
          <t>-</t>
        </is>
      </c>
      <c r="L61" s="9" t="inlineStr">
        <is>
          <t>D-19, ARC-03</t>
        </is>
      </c>
      <c r="M61" s="9" t="inlineStr">
        <is>
          <t>Classes with virtual functions (widgets)</t>
        </is>
      </c>
      <c r="N61" s="9" t="inlineStr">
        <is>
          <t>Level editor (owner, 2026-09-30, D-19)</t>
        </is>
      </c>
      <c r="O61" s="16" t="inlineStr">
        <is>
          <t>Done</t>
        </is>
      </c>
    </row>
    <row r="62" ht="124.15" customHeight="1" s="20">
      <c r="A62" s="7" t="inlineStr">
        <is>
          <t>US-122</t>
        </is>
      </c>
      <c r="B62" s="9" t="inlineStr">
        <is>
          <t>E12</t>
        </is>
      </c>
      <c r="C62" s="9" t="inlineStr">
        <is>
          <t>Levels as data</t>
        </is>
      </c>
      <c r="D62" s="9" t="inlineStr">
        <is>
          <t>As a level designer, I want levels saved as files, so that what I build stays and can be shared.</t>
        </is>
      </c>
      <c r="E62" s="9" t="inlineStr">
        <is>
          <t>Scenario: Load
Given a level file
When the game starts
Then the map, ground, characters and hero start come from the file
Scenario: Round trip
Given a level
When it is saved and loaded
Then it is exactly the same
Scenario: Damaged
Given a damaged level file
When it is loaded
Then the error names the file and the field, and the last good backup is used</t>
        </is>
      </c>
      <c r="F62" s="9" t="inlineStr">
        <is>
          <t>Must</t>
        </is>
      </c>
      <c r="G62" s="9" t="inlineStr">
        <is>
          <t>M</t>
        </is>
      </c>
      <c r="H62" s="9" t="n">
        <v>1</v>
      </c>
      <c r="I62" s="9" t="n">
        <v>2</v>
      </c>
      <c r="J62" s="9" t="inlineStr">
        <is>
          <t>M2c</t>
        </is>
      </c>
      <c r="K62" s="9" t="inlineStr">
        <is>
          <t>US-120</t>
        </is>
      </c>
      <c r="L62" s="9" t="inlineStr">
        <is>
          <t>D-19, ARC-08</t>
        </is>
      </c>
      <c r="M62" s="9" t="inlineStr">
        <is>
          <t>Reading and writing JSON with validation</t>
        </is>
      </c>
      <c r="N62" s="9" t="inlineStr">
        <is>
          <t>Level editor (owner, 2026-09-30, D-19)</t>
        </is>
      </c>
      <c r="O62" s="16" t="inlineStr">
        <is>
          <t>Done</t>
        </is>
      </c>
    </row>
    <row r="63" ht="124.15" customHeight="1" s="20">
      <c r="A63" s="7" t="inlineStr">
        <is>
          <t>US-123</t>
        </is>
      </c>
      <c r="B63" s="9" t="inlineStr">
        <is>
          <t>E12</t>
        </is>
      </c>
      <c r="C63" s="9" t="inlineStr">
        <is>
          <t>Game mode and Editor mode</t>
        </is>
      </c>
      <c r="D63" s="9" t="inlineStr">
        <is>
          <t>As a level designer, I want to switch between playing and editing, so that I can try what I build at once.</t>
        </is>
      </c>
      <c r="E63" s="9" t="inlineStr">
        <is>
          <t>Scenario: Switch
Given the game running
When I press F2
Then Editor mode is shown, the world pauses and the camera pans freely
Scenario: Back to play
Given the Editor with changes
When I press F1
Then the game plays the edited level from the hero start
Scenario: Game untouched
Given Game mode
When I play
Then the spear and sword demos behave as before</t>
        </is>
      </c>
      <c r="F63" s="9" t="inlineStr">
        <is>
          <t>Must</t>
        </is>
      </c>
      <c r="G63" s="9" t="inlineStr">
        <is>
          <t>S</t>
        </is>
      </c>
      <c r="H63" s="9" t="n">
        <v>0.5</v>
      </c>
      <c r="I63" s="9" t="n">
        <v>1</v>
      </c>
      <c r="J63" s="9" t="inlineStr">
        <is>
          <t>M2c</t>
        </is>
      </c>
      <c r="K63" s="9" t="inlineStr">
        <is>
          <t>US-121, US-122</t>
        </is>
      </c>
      <c r="L63" s="9" t="inlineStr">
        <is>
          <t>D-19</t>
        </is>
      </c>
      <c r="M63" s="9" t="inlineStr">
        <is>
          <t>State machines (enum class)</t>
        </is>
      </c>
      <c r="N63" s="9" t="inlineStr">
        <is>
          <t>Level editor (owner, 2026-09-30, D-19)</t>
        </is>
      </c>
      <c r="O63" s="16" t="inlineStr">
        <is>
          <t>Done</t>
        </is>
      </c>
    </row>
    <row r="64" ht="124.15" customHeight="1" s="20">
      <c r="A64" s="7" t="inlineStr">
        <is>
          <t>US-124</t>
        </is>
      </c>
      <c r="B64" s="9" t="inlineStr">
        <is>
          <t>E12</t>
        </is>
      </c>
      <c r="C64" s="9" t="inlineStr">
        <is>
          <t>Paint ground tiles</t>
        </is>
      </c>
      <c r="D64" s="9" t="inlineStr">
        <is>
          <t>As a level designer, I want to paint ground tiles by hand, so that I shape the world.</t>
        </is>
      </c>
      <c r="E64" s="9" t="inlineStr">
        <is>
          <t>Scenario: Paint
Given a tile chosen in the palette
When I click or drag on the map
Then the cells change; solid tiles block walking in Game mode
Scenario: Fill
Given an area
When I use the rectangle or flood fill
Then the whole area is painted in one step
Scenario: Undo
Given a series of edits
When I press Ctrl+Z or Ctrl+Y
Then the level steps back and forward exactly</t>
        </is>
      </c>
      <c r="F64" s="9" t="inlineStr">
        <is>
          <t>Must</t>
        </is>
      </c>
      <c r="G64" s="9" t="inlineStr">
        <is>
          <t>M</t>
        </is>
      </c>
      <c r="H64" s="9" t="n">
        <v>1</v>
      </c>
      <c r="I64" s="9" t="n">
        <v>2</v>
      </c>
      <c r="J64" s="9" t="inlineStr">
        <is>
          <t>M2c</t>
        </is>
      </c>
      <c r="K64" s="9" t="inlineStr">
        <is>
          <t>US-123</t>
        </is>
      </c>
      <c r="L64" s="9" t="inlineStr">
        <is>
          <t>D-19</t>
        </is>
      </c>
      <c r="M64" s="9" t="inlineStr">
        <is>
          <t>The command pattern (undo and redo)</t>
        </is>
      </c>
      <c r="N64" s="9" t="inlineStr">
        <is>
          <t>Level editor (owner, 2026-09-30, D-19)</t>
        </is>
      </c>
      <c r="O64" s="16" t="inlineStr">
        <is>
          <t>Done</t>
        </is>
      </c>
    </row>
    <row r="65" ht="124.15" customHeight="1" s="20">
      <c r="A65" s="7" t="inlineStr">
        <is>
          <t>US-125</t>
        </is>
      </c>
      <c r="B65" s="9" t="inlineStr">
        <is>
          <t>E12</t>
        </is>
      </c>
      <c r="C65" s="9" t="inlineStr">
        <is>
          <t>Place characters</t>
        </is>
      </c>
      <c r="D65" s="9" t="inlineStr">
        <is>
          <t>As a level designer, I want to place heroes and monsters in the world, so that the game has someone to meet.</t>
        </is>
      </c>
      <c r="E65" s="9" t="inlineStr">
        <is>
          <t>Scenario: Place
Given a character chosen in the palette
When I click on the map
Then it appears there, facing south, with default properties
Scenario: Edit
Given a placed character
When I select, move, turn or delete it, or change its name, HP or sword damage
Then the change is shown and saved
Scenario: Play
Given a placed enemy
When I hit it with the sword in Game mode
Then it takes damage, flashes red and is defeated at 0 HP</t>
        </is>
      </c>
      <c r="F65" s="9" t="inlineStr">
        <is>
          <t>Must</t>
        </is>
      </c>
      <c r="G65" s="9" t="inlineStr">
        <is>
          <t>M</t>
        </is>
      </c>
      <c r="H65" s="9" t="n">
        <v>1</v>
      </c>
      <c r="I65" s="9" t="n">
        <v>2</v>
      </c>
      <c r="J65" s="9" t="inlineStr">
        <is>
          <t>M2c</t>
        </is>
      </c>
      <c r="K65" s="9" t="inlineStr">
        <is>
          <t>US-123, US-124</t>
        </is>
      </c>
      <c r="L65" s="9" t="inlineStr">
        <is>
          <t>D-19</t>
        </is>
      </c>
      <c r="M65" s="9" t="inlineStr">
        <is>
          <t>Owning objects in a std::vector; ids instead of pointers</t>
        </is>
      </c>
      <c r="N65" s="9" t="inlineStr">
        <is>
          <t>Level editor (owner, 2026-09-30, D-19)</t>
        </is>
      </c>
      <c r="O65" s="16" t="inlineStr">
        <is>
          <t>Done</t>
        </is>
      </c>
    </row>
    <row r="66" ht="124.15" customHeight="1" s="20">
      <c r="A66" s="7" t="inlineStr">
        <is>
          <t>US-126</t>
        </is>
      </c>
      <c r="B66" s="9" t="inlineStr">
        <is>
          <t>E12</t>
        </is>
      </c>
      <c r="C66" s="9" t="inlineStr">
        <is>
          <t>Level and character settings</t>
        </is>
      </c>
      <c r="D66" s="9" t="inlineStr">
        <is>
          <t>As a level designer, I want to set the level's name, size, default ground and the hero's start, so that each level is my own.</t>
        </is>
      </c>
      <c r="E66" s="9" t="inlineStr">
        <is>
          <t>Scenario: Settings
Given a level
When I change its name, size or default ground
Then it is saved and reloaded; a resize keeps the painted tiles
Scenario: Hero start
Given the hero start marker
When I move it
Then Game mode starts the hero there
Scenario: Guide
Given the owner
When he opens docs/guides/editor.md
Then every control is explained in plain words</t>
        </is>
      </c>
      <c r="F66" s="9" t="inlineStr">
        <is>
          <t>Must</t>
        </is>
      </c>
      <c r="G66" s="9" t="inlineStr">
        <is>
          <t>S</t>
        </is>
      </c>
      <c r="H66" s="9" t="n">
        <v>0.5</v>
      </c>
      <c r="I66" s="9" t="n">
        <v>1</v>
      </c>
      <c r="J66" s="9" t="inlineStr">
        <is>
          <t>M2c</t>
        </is>
      </c>
      <c r="K66" s="9" t="inlineStr">
        <is>
          <t>US-125</t>
        </is>
      </c>
      <c r="L66" s="9" t="inlineStr">
        <is>
          <t>D-19</t>
        </is>
      </c>
      <c r="M66" s="9" t="inlineStr">
        <is>
          <t>Resizing a 2D grid stored in one vector</t>
        </is>
      </c>
      <c r="N66" s="9" t="inlineStr">
        <is>
          <t>Level editor (owner, 2026-09-30, D-19)</t>
        </is>
      </c>
      <c r="O66" s="16" t="inlineStr">
        <is>
          <t>Done</t>
        </is>
      </c>
    </row>
    <row r="67" ht="124.15" customHeight="1" s="20">
      <c r="A67" s="7" t="inlineStr">
        <is>
          <t>US-130</t>
        </is>
      </c>
      <c r="B67" s="9" t="inlineStr">
        <is>
          <t>E13</t>
        </is>
      </c>
      <c r="C67" s="9" t="inlineStr">
        <is>
          <t>Content catalogs from the new sheets</t>
        </is>
      </c>
      <c r="D67" s="9" t="inlineStr">
        <is>
          <t>As the owner, I want my seven new sprite sheets cut into game atlases and catalogs, so that weapons, plants, animals, effects and weather can be used in the game.</t>
        </is>
      </c>
      <c r="E67" s="9" t="inlineStr">
        <is>
          <t>Scenario: Cut
Given the seven sheets and cuts.json
When the atlas tool runs
Then atlases and JSON catalogs exist for weapons, plants, animals, effects and weather, backgrounds removed
Scenario: Review
Given the owner
When the owner opens the numbered contact sheets
Then every item is shown with its catalog name</t>
        </is>
      </c>
      <c r="F67" s="9" t="inlineStr">
        <is>
          <t>Must</t>
        </is>
      </c>
      <c r="G67" s="9" t="inlineStr">
        <is>
          <t>L</t>
        </is>
      </c>
      <c r="H67" s="9" t="n">
        <v>2</v>
      </c>
      <c r="I67" s="9" t="n">
        <v>4</v>
      </c>
      <c r="J67" s="9" t="inlineStr">
        <is>
          <t>M2d</t>
        </is>
      </c>
      <c r="K67" s="9" t="inlineStr">
        <is>
          <t>US-120</t>
        </is>
      </c>
      <c r="L67" s="9" t="inlineStr">
        <is>
          <t>D-05, D-21, ARC-08</t>
        </is>
      </c>
      <c r="M67" s="9" t="inlineStr">
        <is>
          <t>Reading data tables with std::map and validating them</t>
        </is>
      </c>
      <c r="N67" s="9" t="inlineStr">
        <is>
          <t>Content and combat (owner, 2026-09-30, D-21)</t>
        </is>
      </c>
      <c r="O67" s="16" t="inlineStr">
        <is>
          <t>Done</t>
        </is>
      </c>
    </row>
    <row r="68" ht="124.15" customHeight="1" s="20">
      <c r="A68" s="7" t="inlineStr">
        <is>
          <t>US-131</t>
        </is>
      </c>
      <c r="B68" s="9" t="inlineStr">
        <is>
          <t>E13</t>
        </is>
      </c>
      <c r="C68" s="9" t="inlineStr">
        <is>
          <t>Hero HP, fighting back and death</t>
        </is>
      </c>
      <c r="D68" s="9" t="inlineStr">
        <is>
          <t>As the player, I want enemies to strike back when I hit them, so that fighting has risk.</t>
        </is>
      </c>
      <c r="E68" s="9" t="inlineStr">
        <is>
          <t>Scenario: Strike back
Given an enemy the hero hits while standing within 1.5 m
When 0.5 s pass with a warning flash
Then the hero loses the enemy kind's damage
Scenario: Death
Given the hero or an enemy at 0 HP
When it happens
Then the hero respawns at the start with 100 HP; the enemy dies and is gone until the level restarts</t>
        </is>
      </c>
      <c r="F68" s="9" t="inlineStr">
        <is>
          <t>Must</t>
        </is>
      </c>
      <c r="G68" s="9" t="inlineStr">
        <is>
          <t>M</t>
        </is>
      </c>
      <c r="H68" s="9" t="n">
        <v>1</v>
      </c>
      <c r="I68" s="9" t="n">
        <v>2</v>
      </c>
      <c r="J68" s="9" t="inlineStr">
        <is>
          <t>M2d</t>
        </is>
      </c>
      <c r="K68" s="9" t="inlineStr">
        <is>
          <t>US-125</t>
        </is>
      </c>
      <c r="L68" s="9" t="inlineStr">
        <is>
          <t>D-21</t>
        </is>
      </c>
      <c r="M68" s="9" t="inlineStr">
        <is>
          <t>A small state machine with enum class</t>
        </is>
      </c>
      <c r="N68" s="9" t="inlineStr">
        <is>
          <t>Content and combat (owner, 2026-09-30, D-21)</t>
        </is>
      </c>
      <c r="O68" s="16" t="inlineStr">
        <is>
          <t>Done</t>
        </is>
      </c>
    </row>
    <row r="69" ht="124.15" customHeight="1" s="20">
      <c r="A69" s="7" t="inlineStr">
        <is>
          <t>US-132</t>
        </is>
      </c>
      <c r="B69" s="9" t="inlineStr">
        <is>
          <t>E13</t>
        </is>
      </c>
      <c r="C69" s="9" t="inlineStr">
        <is>
          <t>Effect player</t>
        </is>
      </c>
      <c r="D69" s="9" t="inlineStr">
        <is>
          <t>As the player, I want hits, deaths and projectiles to show effects, so that combat reads clearly.</t>
        </is>
      </c>
      <c r="E69" s="9" t="inlineStr">
        <is>
          <t>Scenario: One-shot
Given an effect started in the world
When its frames have played
Then it disappears
Scenario: Combat
Given a sword hit, a death or an arrow in flight
When it happens
Then a hit spark, a smoke puff or a trail plays</t>
        </is>
      </c>
      <c r="F69" s="9" t="inlineStr">
        <is>
          <t>Must</t>
        </is>
      </c>
      <c r="G69" s="9" t="inlineStr">
        <is>
          <t>M</t>
        </is>
      </c>
      <c r="H69" s="9" t="n">
        <v>1</v>
      </c>
      <c r="I69" s="9" t="n">
        <v>2</v>
      </c>
      <c r="J69" s="9" t="inlineStr">
        <is>
          <t>M2d</t>
        </is>
      </c>
      <c r="K69" s="9" t="inlineStr">
        <is>
          <t>US-130</t>
        </is>
      </c>
      <c r="L69" s="9" t="inlineStr">
        <is>
          <t>D-21, ARC-09</t>
        </is>
      </c>
      <c r="M69" s="9" t="inlineStr">
        <is>
          <t>Timers and animation frames in a fixed timestep</t>
        </is>
      </c>
      <c r="N69" s="9" t="inlineStr">
        <is>
          <t>Content and combat (owner, 2026-09-30, D-21)</t>
        </is>
      </c>
      <c r="O69" s="16" t="inlineStr">
        <is>
          <t>Done</t>
        </is>
      </c>
    </row>
    <row r="70" ht="124.15" customHeight="1" s="20">
      <c r="A70" s="7" t="inlineStr">
        <is>
          <t>US-133</t>
        </is>
      </c>
      <c r="B70" s="9" t="inlineStr">
        <is>
          <t>E13</t>
        </is>
      </c>
      <c r="C70" s="9" t="inlineStr">
        <is>
          <t>Weapon classes and the starter set</t>
        </is>
      </c>
      <c r="D70" s="9" t="inlineStr">
        <is>
          <t>As the player, I want each kind of weapon to fight differently, so that choosing a weapon matters.</t>
        </is>
      </c>
      <c r="E70" s="9" t="inlineStr">
        <is>
          <t>Scenario: Classes
Given each of the 8 classes
When the hero attacks
Then its own attack shape, speed and range are used from JSON
Scenario: In hand
Given a weapon selected
When the hero walks
Then the weapon icon is drawn in the hero's hand</t>
        </is>
      </c>
      <c r="F70" s="9" t="inlineStr">
        <is>
          <t>Must</t>
        </is>
      </c>
      <c r="G70" s="9" t="inlineStr">
        <is>
          <t>L</t>
        </is>
      </c>
      <c r="H70" s="9" t="n">
        <v>2</v>
      </c>
      <c r="I70" s="9" t="n">
        <v>4</v>
      </c>
      <c r="J70" s="9" t="inlineStr">
        <is>
          <t>M2d</t>
        </is>
      </c>
      <c r="K70" s="9" t="inlineStr">
        <is>
          <t>US-130, US-132</t>
        </is>
      </c>
      <c r="L70" s="9" t="inlineStr">
        <is>
          <t>D-21</t>
        </is>
      </c>
      <c r="M70" s="9" t="inlineStr">
        <is>
          <t>Virtual functions or std::variant for weapon classes</t>
        </is>
      </c>
      <c r="N70" s="9" t="inlineStr">
        <is>
          <t>Content and combat (owner, 2026-09-30, D-21)</t>
        </is>
      </c>
      <c r="O70" s="16" t="inlineStr">
        <is>
          <t>Done</t>
        </is>
      </c>
    </row>
    <row r="71" ht="124.15" customHeight="1" s="20">
      <c r="A71" s="7" t="inlineStr">
        <is>
          <t>US-134</t>
        </is>
      </c>
      <c r="B71" s="9" t="inlineStr">
        <is>
          <t>E13</t>
        </is>
      </c>
      <c r="C71" s="9" t="inlineStr">
        <is>
          <t>Pickups and the hotbar</t>
        </is>
      </c>
      <c r="D71" s="9" t="inlineStr">
        <is>
          <t>As a level designer, I want to place weapons in my levels for the hero to find, so that levels have rewards.</t>
        </is>
      </c>
      <c r="E71" s="9" t="inlineStr">
        <is>
          <t>Scenario: Pick up
Given the hero walks over a pickup
When it happens
Then the weapon goes into the first free of 9 hotbar slots
Scenario: Select
Given weapons in the hotbar
When I press 1-9 or Shift
Then that weapon, or the next one, is held</t>
        </is>
      </c>
      <c r="F71" s="9" t="inlineStr">
        <is>
          <t>Must</t>
        </is>
      </c>
      <c r="G71" s="9" t="inlineStr">
        <is>
          <t>M</t>
        </is>
      </c>
      <c r="H71" s="9" t="n">
        <v>1</v>
      </c>
      <c r="I71" s="9" t="n">
        <v>2</v>
      </c>
      <c r="J71" s="9" t="inlineStr">
        <is>
          <t>M2d</t>
        </is>
      </c>
      <c r="K71" s="9" t="inlineStr">
        <is>
          <t>US-133</t>
        </is>
      </c>
      <c r="L71" s="9" t="inlineStr">
        <is>
          <t>D-21, ADR-010</t>
        </is>
      </c>
      <c r="M71" s="9" t="inlineStr">
        <is>
          <t>Upgrading a saved file format (version 1 to 2)</t>
        </is>
      </c>
      <c r="N71" s="9" t="inlineStr">
        <is>
          <t>Content and combat (owner, 2026-09-30, D-21)</t>
        </is>
      </c>
      <c r="O71" s="16" t="inlineStr">
        <is>
          <t>Done</t>
        </is>
      </c>
    </row>
    <row r="72" ht="124.15" customHeight="1" s="20">
      <c r="A72" s="7" t="inlineStr">
        <is>
          <t>US-135</t>
        </is>
      </c>
      <c r="B72" s="9" t="inlineStr">
        <is>
          <t>E13</t>
        </is>
      </c>
      <c r="C72" s="9" t="inlineStr">
        <is>
          <t>Elements</t>
        </is>
      </c>
      <c r="D72" s="9" t="inlineStr">
        <is>
          <t>As the player, I want elemental weapons to do something special, so that they feel different.</t>
        </is>
      </c>
      <c r="E72" s="9" t="inlineStr">
        <is>
          <t>Scenario: Over time
Given a hit with a fire or poison weapon
When seconds pass
Then the target loses HP over time with its effect showing
Scenario: Lightning
Given a hit with a lightning weapon and a second enemy nearby
When it happens
Then the lightning jumps to that enemy</t>
        </is>
      </c>
      <c r="F72" s="9" t="inlineStr">
        <is>
          <t>Should</t>
        </is>
      </c>
      <c r="G72" s="9" t="inlineStr">
        <is>
          <t>S</t>
        </is>
      </c>
      <c r="H72" s="9" t="n">
        <v>0.5</v>
      </c>
      <c r="I72" s="9" t="n">
        <v>1</v>
      </c>
      <c r="J72" s="9" t="inlineStr">
        <is>
          <t>M2d</t>
        </is>
      </c>
      <c r="K72" s="9" t="inlineStr">
        <is>
          <t>US-133</t>
        </is>
      </c>
      <c r="L72" s="9" t="inlineStr">
        <is>
          <t>D-21</t>
        </is>
      </c>
      <c r="M72" s="9" t="inlineStr">
        <is>
          <t>Components: small structs attached to characters</t>
        </is>
      </c>
      <c r="N72" s="9" t="inlineStr">
        <is>
          <t>Content and combat (owner, 2026-09-30, D-21)</t>
        </is>
      </c>
      <c r="O72" s="16" t="inlineStr">
        <is>
          <t>Done</t>
        </is>
      </c>
    </row>
    <row r="73" ht="124.15" customHeight="1" s="20">
      <c r="A73" s="7" t="inlineStr">
        <is>
          <t>US-136</t>
        </is>
      </c>
      <c r="B73" s="9" t="inlineStr">
        <is>
          <t>E13</t>
        </is>
      </c>
      <c r="C73" s="9" t="inlineStr">
        <is>
          <t>Plants</t>
        </is>
      </c>
      <c r="D73" s="9" t="inlineStr">
        <is>
          <t>As a level designer and player, I want plants in the world that block, can be looked at, chopped and eaten, so that the world feels alive.</t>
        </is>
      </c>
      <c r="E73" s="9" t="inlineStr">
        <is>
          <t>Scenario: Chop
Given the hero next to a plant
When the player hits it with a weapon
Then it is destroyed with a leaf burst; an edible plant heals 10 HP
Scenario: Regrow
Given a destroyed plant
When 15 s pass
Then the same plant grows back at a random free spot in the camera view</t>
        </is>
      </c>
      <c r="F73" s="9" t="inlineStr">
        <is>
          <t>Must</t>
        </is>
      </c>
      <c r="G73" s="9" t="inlineStr">
        <is>
          <t>L</t>
        </is>
      </c>
      <c r="H73" s="9" t="n">
        <v>2</v>
      </c>
      <c r="I73" s="9" t="n">
        <v>4</v>
      </c>
      <c r="J73" s="9" t="inlineStr">
        <is>
          <t>M2d</t>
        </is>
      </c>
      <c r="K73" s="9" t="inlineStr">
        <is>
          <t>US-130, US-132, US-134</t>
        </is>
      </c>
      <c r="L73" s="9" t="inlineStr">
        <is>
          <t>D-21</t>
        </is>
      </c>
      <c r="M73" s="9" t="inlineStr">
        <is>
          <t>Random numbers from a seeded stream; spatial queries</t>
        </is>
      </c>
      <c r="N73" s="9" t="inlineStr">
        <is>
          <t>Content and combat (owner, 2026-09-30, D-21)</t>
        </is>
      </c>
      <c r="O73" s="16" t="inlineStr">
        <is>
          <t>Done</t>
        </is>
      </c>
    </row>
    <row r="74" ht="124.15" customHeight="1" s="20">
      <c r="A74" s="7" t="inlineStr">
        <is>
          <t>US-137</t>
        </is>
      </c>
      <c r="B74" s="9" t="inlineStr">
        <is>
          <t>E13</t>
        </is>
      </c>
      <c r="C74" s="9" t="inlineStr">
        <is>
          <t>Animals in the Editor</t>
        </is>
      </c>
      <c r="D74" s="9" t="inlineStr">
        <is>
          <t>As a level designer, I want to place animals, so that my levels have wildlife and dangers.</t>
        </is>
      </c>
      <c r="E74" s="9" t="inlineStr">
        <is>
          <t>Scenario: Enemies
Given a predator or boar
When the hero hits it
Then it takes damage and strikes back like a goblin
Scenario: Bystanders
Given a deer, cow or rabbit
When the hero walks by
Then it does nothing and cannot be hit</t>
        </is>
      </c>
      <c r="F74" s="9" t="inlineStr">
        <is>
          <t>Must</t>
        </is>
      </c>
      <c r="G74" s="9" t="inlineStr">
        <is>
          <t>S</t>
        </is>
      </c>
      <c r="H74" s="9" t="n">
        <v>0.5</v>
      </c>
      <c r="I74" s="9" t="n">
        <v>1</v>
      </c>
      <c r="J74" s="9" t="inlineStr">
        <is>
          <t>M2d</t>
        </is>
      </c>
      <c r="K74" s="9" t="inlineStr">
        <is>
          <t>US-130, US-131</t>
        </is>
      </c>
      <c r="L74" s="9" t="inlineStr">
        <is>
          <t>D-21</t>
        </is>
      </c>
      <c r="M74" s="9" t="inlineStr">
        <is>
          <t>Data-driven behaviour flags</t>
        </is>
      </c>
      <c r="N74" s="9" t="inlineStr">
        <is>
          <t>Content and combat (owner, 2026-09-30, D-21)</t>
        </is>
      </c>
      <c r="O74" s="16" t="inlineStr">
        <is>
          <t>Done</t>
        </is>
      </c>
    </row>
    <row r="75" ht="124.15" customHeight="1" s="20">
      <c r="A75" s="7" t="inlineStr">
        <is>
          <t>US-138</t>
        </is>
      </c>
      <c r="B75" s="9" t="inlineStr">
        <is>
          <t>E13</t>
        </is>
      </c>
      <c r="C75" s="9" t="inlineStr">
        <is>
          <t>Placed effects and random weather</t>
        </is>
      </c>
      <c r="D75" s="9" t="inlineStr">
        <is>
          <t>As the owner, I want ambient effects and changing weather, so that the world has atmosphere.</t>
        </is>
      </c>
      <c r="E75" s="9" t="inlineStr">
        <is>
          <t>Scenario: Weather
Given Game mode
When 60-120 s pass
Then a random weather fades in over 3 s; clear sky comes about 1 in 3
Scenario: Repeatable
Given the same seed
When the game runs twice
Then the same weathers come in the same order</t>
        </is>
      </c>
      <c r="F75" s="9" t="inlineStr">
        <is>
          <t>Should</t>
        </is>
      </c>
      <c r="G75" s="9" t="inlineStr">
        <is>
          <t>M</t>
        </is>
      </c>
      <c r="H75" s="9" t="n">
        <v>1</v>
      </c>
      <c r="I75" s="9" t="n">
        <v>2</v>
      </c>
      <c r="J75" s="9" t="inlineStr">
        <is>
          <t>M2d</t>
        </is>
      </c>
      <c r="K75" s="9" t="inlineStr">
        <is>
          <t>US-132</t>
        </is>
      </c>
      <c r="L75" s="9" t="inlineStr">
        <is>
          <t>D-21, ADR-011</t>
        </is>
      </c>
      <c r="M75" s="9" t="inlineStr">
        <is>
          <t>Blending two overlays with alpha</t>
        </is>
      </c>
      <c r="N75" s="9" t="inlineStr">
        <is>
          <t>Content and combat (owner, 2026-09-30, D-21)</t>
        </is>
      </c>
      <c r="O75" s="16" t="inlineStr">
        <is>
          <t>Done</t>
        </is>
      </c>
    </row>
    <row r="76" ht="124.15" customHeight="1" s="20">
      <c r="A76" s="7" t="inlineStr">
        <is>
          <t>US-139</t>
        </is>
      </c>
      <c r="B76" s="9" t="inlineStr">
        <is>
          <t>E13</t>
        </is>
      </c>
      <c r="C76" s="9" t="inlineStr">
        <is>
          <t>Mouse aiming</t>
        </is>
      </c>
      <c r="D76" s="9" t="inlineStr">
        <is>
          <t>As the player, I want to aim my weapon with the mouse, so that I can attack exactly where I point.</t>
        </is>
      </c>
      <c r="E76" s="9" t="inlineStr">
        <is>
          <t>Scenario: Face the cursor
Given a weapon is held in Game mode
When the mouse pointer moves around the hero
Then the hero faces the pointer and an aim line and crosshair follow it
Scenario: Swing toward the cursor
Given a melee weapon is held and an enemy stands north-east
When the pointer is north-east and I attack
Then the swing hits it; with the pointer south-west it misses
Scenario: Keys still work
Given the Interact key
When it is pressed without moving the pointer
Then the attack goes toward the facing as before</t>
        </is>
      </c>
      <c r="F76" s="9" t="inlineStr">
        <is>
          <t>Must</t>
        </is>
      </c>
      <c r="G76" s="9" t="inlineStr">
        <is>
          <t>M</t>
        </is>
      </c>
      <c r="H76" s="9">
        <f>VLOOKUP(G76,'Read Me'!$A$13:$C$15,2,FALSE)</f>
        <v/>
      </c>
      <c r="I76" s="9">
        <f>VLOOKUP(G76,'Read Me'!$A$13:$C$15,3,FALSE)</f>
        <v/>
      </c>
      <c r="J76" s="9" t="inlineStr">
        <is>
          <t>M2d</t>
        </is>
      </c>
      <c r="K76" s="9" t="inlineStr">
        <is>
          <t>US-133, US-134</t>
        </is>
      </c>
      <c r="L76" s="9" t="inlineStr">
        <is>
          <t>D-25</t>
        </is>
      </c>
      <c r="M76" s="9" t="inlineStr">
        <is>
          <t>Converting between screen, world and angles with atan2</t>
        </is>
      </c>
      <c r="N76" s="9" t="inlineStr">
        <is>
          <t>Aiming and ballistics (owner, 2026-10-01, D-25)</t>
        </is>
      </c>
      <c r="O76" s="16" t="inlineStr">
        <is>
          <t>Done</t>
        </is>
      </c>
    </row>
    <row r="77" ht="124.15" customHeight="1" s="20">
      <c r="A77" s="7" t="inlineStr">
        <is>
          <t>US-140</t>
        </is>
      </c>
      <c r="B77" s="9" t="inlineStr">
        <is>
          <t>E13</t>
        </is>
      </c>
      <c r="C77" s="9" t="inlineStr">
        <is>
          <t>Arc ballistics for shots</t>
        </is>
      </c>
      <c r="D77" s="9" t="inlineStr">
        <is>
          <t>As the player, I want shots to fly as real arcs that land where I aim, so that aiming and distance matter.</t>
        </is>
      </c>
      <c r="E77" s="9" t="inlineStr">
        <is>
          <t>Scenario: Lands at the cursor
Given a launch speed and a pointer within range
When a shot is fired
Then it flies a ballistic arc and lands within half a metre of the pointer, the same way every run
Scenario: Hits in its path
Given an enemy in the path and another behind a rock
When a low arc passes through the first one's body height
Then it is hit; the rock blocks a low shot to the second, and a high arc clears the rock
Scenario: Range and misses
Given a pointer beyond the weapon's range
When the shot is fired
Then it lands at the range limit; a miss sticks in the ground briefly and is removed</t>
        </is>
      </c>
      <c r="F77" s="9" t="inlineStr">
        <is>
          <t>Must</t>
        </is>
      </c>
      <c r="G77" s="9" t="inlineStr">
        <is>
          <t>L</t>
        </is>
      </c>
      <c r="H77" s="9">
        <f>VLOOKUP(G77,'Read Me'!$A$13:$C$15,2,FALSE)</f>
        <v/>
      </c>
      <c r="I77" s="9">
        <f>VLOOKUP(G77,'Read Me'!$A$13:$C$15,3,FALSE)</f>
        <v/>
      </c>
      <c r="J77" s="9" t="inlineStr">
        <is>
          <t>M2d</t>
        </is>
      </c>
      <c r="K77" s="9" t="inlineStr">
        <is>
          <t>US-139</t>
        </is>
      </c>
      <c r="L77" s="9" t="inlineStr">
        <is>
          <t>D-25, ARC-10, ADR-017</t>
        </is>
      </c>
      <c r="M77" s="9" t="inlineStr">
        <is>
          <t>Fixed-point numbers versus floating point</t>
        </is>
      </c>
      <c r="N77" s="9" t="inlineStr">
        <is>
          <t>Aiming and ballistics (owner, 2026-10-01, D-25)</t>
        </is>
      </c>
      <c r="O77" s="16" t="inlineStr">
        <is>
          <t>Done</t>
        </is>
      </c>
    </row>
    <row r="78" ht="124.15" customHeight="1" s="20">
      <c r="A78" s="7" t="inlineStr">
        <is>
          <t>US-141</t>
        </is>
      </c>
      <c r="B78" s="9" t="inlineStr">
        <is>
          <t>E13</t>
        </is>
      </c>
      <c r="C78" s="9" t="inlineStr">
        <is>
          <t>Bows, crossbows, thrown weapons and staff bolts</t>
        </is>
      </c>
      <c r="D78" s="9" t="inlineStr">
        <is>
          <t>As the player, I want several ranged weapons I can aim and shoot, so that I can defeat enemies from a distance.</t>
        </is>
      </c>
      <c r="E78" s="9" t="inlineStr">
        <is>
          <t>Scenario: Each ranged class shoots
Given a bow, a crossbow, a thrown weapon and a staff
When each is fired at a goblin
Then each hits with its own speed and path (arcs, and a flat bolt for the staff)
Scenario: Elements on shots
Given an elemental bow or staff
When its shot hits a goblin
Then the element's effect applies as for melee weapons
Scenario: Shooting range
Given the range level
When I play it
Then goblins in the open and behind rocks can be shot, and numbers are tuned in weapons.json</t>
        </is>
      </c>
      <c r="F78" s="9" t="inlineStr">
        <is>
          <t>Must</t>
        </is>
      </c>
      <c r="G78" s="9" t="inlineStr">
        <is>
          <t>M</t>
        </is>
      </c>
      <c r="H78" s="9">
        <f>VLOOKUP(G78,'Read Me'!$A$13:$C$15,2,FALSE)</f>
        <v/>
      </c>
      <c r="I78" s="9">
        <f>VLOOKUP(G78,'Read Me'!$A$13:$C$15,3,FALSE)</f>
        <v/>
      </c>
      <c r="J78" s="9" t="inlineStr">
        <is>
          <t>M2d</t>
        </is>
      </c>
      <c r="K78" s="9" t="inlineStr">
        <is>
          <t>US-140</t>
        </is>
      </c>
      <c r="L78" s="9" t="inlineStr">
        <is>
          <t>D-25</t>
        </is>
      </c>
      <c r="M78" s="9" t="inlineStr">
        <is>
          <t>Data-driven tuning: speeds and ranges in JSON, not in code</t>
        </is>
      </c>
      <c r="N78" s="9" t="inlineStr">
        <is>
          <t>Aiming and ballistics (owner, 2026-10-01, D-25)</t>
        </is>
      </c>
      <c r="O78" s="16" t="inlineStr">
        <is>
          <t>Done</t>
        </is>
      </c>
    </row>
    <row r="79" ht="124.15" customHeight="1" s="20">
      <c r="A79" s="7" t="inlineStr">
        <is>
          <t>US-150</t>
        </is>
      </c>
      <c r="B79" s="9" t="inlineStr">
        <is>
          <t>E14</t>
        </is>
      </c>
      <c r="C79" s="9" t="inlineStr">
        <is>
          <t>Interaction data and the rule language</t>
        </is>
      </c>
      <c r="D79" s="9" t="inlineStr">
        <is>
          <t>As the owner, I want every action and interaction described in JSON files I can edit offline, with conditions and effects in plain words, so that I can change how the world works without code.</t>
        </is>
      </c>
      <c r="E79" s="9" t="inlineStr">
        <is>
          <t>Scenario: Load
Given gather.json with a range, a duration, two conditions and three effects
When the game starts
Then the interaction is registered and offered on edible plants
Scenario: Error
Given a file with an unknown effect verb on line 12
When the game starts
Then the error reads 'interactions/gather.json:12: unknown effect verb "giv"' and the rest of the data loads
Scenario: Guide
Given every condition function and effect verb
When the owner opens docs/guides/interaction-data.md
Then each has a one-line meaning and an example</t>
        </is>
      </c>
      <c r="F79" s="9" t="inlineStr">
        <is>
          <t>Must</t>
        </is>
      </c>
      <c r="G79" s="9" t="inlineStr">
        <is>
          <t>L</t>
        </is>
      </c>
      <c r="H79" s="9">
        <f>VLOOKUP(G79,'Read Me'!$A$13:$C$15,2,FALSE)</f>
        <v/>
      </c>
      <c r="I79" s="9">
        <f>VLOOKUP(G79,'Read Me'!$A$13:$C$15,3,FALSE)</f>
        <v/>
      </c>
      <c r="J79" s="9" t="inlineStr">
        <is>
          <t>M7</t>
        </is>
      </c>
      <c r="K79" s="9" t="inlineStr">
        <is>
          <t>US-060, D-34</t>
        </is>
      </c>
      <c r="L79" s="9" t="inlineStr">
        <is>
          <t>INT-01, INT-03, ADR-019</t>
        </is>
      </c>
      <c r="M79" s="9" t="inlineStr">
        <is>
          <t>A small expression parser (tokens, recursive descent)</t>
        </is>
      </c>
      <c r="N79" s="9" t="inlineStr">
        <is>
          <t>World interactions and dialogue (owner, 2026-10-01, D-34)</t>
        </is>
      </c>
      <c r="O79" s="16" t="inlineStr">
        <is>
          <t>To do</t>
        </is>
      </c>
    </row>
    <row r="80" ht="124.15" customHeight="1" s="20">
      <c r="A80" s="7" t="inlineStr">
        <is>
          <t>US-151</t>
        </is>
      </c>
      <c r="B80" s="9" t="inlineStr">
        <is>
          <t>E14</t>
        </is>
      </c>
      <c r="C80" s="9" t="inlineStr">
        <is>
          <t>Tags and smart objects</t>
        </is>
      </c>
      <c r="D80" s="9" t="inlineStr">
        <is>
          <t>As the owner, I want things to carry tags and states and to advertise the interactions that fit them, so that a new plant or object gets its actions just by its tags.</t>
        </is>
      </c>
      <c r="E80" s="9" t="inlineStr">
        <is>
          <t>Scenario: Advertise
Given a new plant kind tagged edible and plant
When the hero right-clicks it
Then Gather and Inspect are offered without any code change
Scenario: State
Given a bush in state picked
When the hero right-clicks it
Then Gather is shown disabled with 'Nothing to pick yet'
Scenario: Unknown tag
Given an interaction targeting a tag no catalog uses
When the data loads
Then a warning names the file and the tag</t>
        </is>
      </c>
      <c r="F80" s="9" t="inlineStr">
        <is>
          <t>Must</t>
        </is>
      </c>
      <c r="G80" s="9" t="inlineStr">
        <is>
          <t>M</t>
        </is>
      </c>
      <c r="H80" s="9">
        <f>VLOOKUP(G80,'Read Me'!$A$13:$C$15,2,FALSE)</f>
        <v/>
      </c>
      <c r="I80" s="9">
        <f>VLOOKUP(G80,'Read Me'!$A$13:$C$15,3,FALSE)</f>
        <v/>
      </c>
      <c r="J80" s="9" t="inlineStr">
        <is>
          <t>M7</t>
        </is>
      </c>
      <c r="K80" s="9" t="inlineStr">
        <is>
          <t>US-150</t>
        </is>
      </c>
      <c r="L80" s="9" t="inlineStr">
        <is>
          <t>INT-01, INT-02, GD-04</t>
        </is>
      </c>
      <c r="M80" s="9" t="inlineStr">
        <is>
          <t>Sets of tags and matching with std::ranges</t>
        </is>
      </c>
      <c r="N80" s="9" t="inlineStr">
        <is>
          <t>World interactions and dialogue (owner, 2026-10-01, D-34)</t>
        </is>
      </c>
      <c r="O80" s="16" t="inlineStr">
        <is>
          <t>To do</t>
        </is>
      </c>
    </row>
    <row r="81" ht="124.15" customHeight="1" s="20">
      <c r="A81" s="7" t="inlineStr">
        <is>
          <t>US-152</t>
        </is>
      </c>
      <c r="B81" s="9" t="inlineStr">
        <is>
          <t>E14</t>
        </is>
      </c>
      <c r="C81" s="9" t="inlineStr">
        <is>
          <t>The context menu from data</t>
        </is>
      </c>
      <c r="D81" s="9" t="inlineStr">
        <is>
          <t>As the player, I want right-click actions to come from the data, so that the owner's changes appear in the game; nothing I could do before is lost.</t>
        </is>
      </c>
      <c r="E81" s="9" t="inlineStr">
        <is>
          <t>Scenario: Same actions
Given the M5 camp level
When the hero right-clicks a person, the fire and the knapping stone
Then Talk, Give berries, Ask to teach, Craft, Eat berries and Tend the fire are offered as before
Scenario: Data change
Given the owner renames 'Tend the fire' in tend-fire.json
When the game reloads the data
Then the menu shows the new name
Scenario: Regression
Given the M5 and M6 tests
When they run
Then they pass unchanged</t>
        </is>
      </c>
      <c r="F81" s="9" t="inlineStr">
        <is>
          <t>Must</t>
        </is>
      </c>
      <c r="G81" s="9" t="inlineStr">
        <is>
          <t>L</t>
        </is>
      </c>
      <c r="H81" s="9">
        <f>VLOOKUP(G81,'Read Me'!$A$13:$C$15,2,FALSE)</f>
        <v/>
      </c>
      <c r="I81" s="9">
        <f>VLOOKUP(G81,'Read Me'!$A$13:$C$15,3,FALSE)</f>
        <v/>
      </c>
      <c r="J81" s="9" t="inlineStr">
        <is>
          <t>M7</t>
        </is>
      </c>
      <c r="K81" s="9" t="inlineStr">
        <is>
          <t>US-151, US-061</t>
        </is>
      </c>
      <c r="L81" s="9" t="inlineStr">
        <is>
          <t>INT-01, INT-03</t>
        </is>
      </c>
      <c r="M81" s="9" t="inlineStr">
        <is>
          <t>Replacing hard-coded behaviour behind a stable interface (refactoring with tests)</t>
        </is>
      </c>
      <c r="N81" s="9" t="inlineStr">
        <is>
          <t>World interactions and dialogue (owner, 2026-10-01, D-34)</t>
        </is>
      </c>
      <c r="O81" s="16" t="inlineStr">
        <is>
          <t>To do</t>
        </is>
      </c>
    </row>
    <row r="82" ht="124.15" customHeight="1" s="20">
      <c r="A82" s="7" t="inlineStr">
        <is>
          <t>US-153</t>
        </is>
      </c>
      <c r="B82" s="9" t="inlineStr">
        <is>
          <t>E14</t>
        </is>
      </c>
      <c r="C82" s="9" t="inlineStr">
        <is>
          <t>Timed actions and world state</t>
        </is>
      </c>
      <c r="D82" s="9" t="inlineStr">
        <is>
          <t>As the player, I want actions to take time, show progress and change the thing I act on, so that the world reacts and remembers.</t>
        </is>
      </c>
      <c r="E82" s="9" t="inlineStr">
        <is>
          <t>Scenario: Progress
Given Gather with a duration of 3 s
When the hero starts it
Then a progress ring fills over 3 s and the berries arrive at the end
Scenario: Interrupt
Given a timed action under way
When the player moves or attacks
Then the action stops and gives nothing
Scenario: Saved
Given a bush picked and a fire lit
When the game saves and loads
Then the bush is still picked and the fire still burns</t>
        </is>
      </c>
      <c r="F82" s="9" t="inlineStr">
        <is>
          <t>Must</t>
        </is>
      </c>
      <c r="G82" s="9" t="inlineStr">
        <is>
          <t>M</t>
        </is>
      </c>
      <c r="H82" s="9">
        <f>VLOOKUP(G82,'Read Me'!$A$13:$C$15,2,FALSE)</f>
        <v/>
      </c>
      <c r="I82" s="9">
        <f>VLOOKUP(G82,'Read Me'!$A$13:$C$15,3,FALSE)</f>
        <v/>
      </c>
      <c r="J82" s="9" t="inlineStr">
        <is>
          <t>M7</t>
        </is>
      </c>
      <c r="K82" s="9" t="inlineStr">
        <is>
          <t>US-152</t>
        </is>
      </c>
      <c r="L82" s="9" t="inlineStr">
        <is>
          <t>INT-04</t>
        </is>
      </c>
      <c r="M82" s="9" t="inlineStr">
        <is>
          <t>Timers in the fixed timestep; saving component state</t>
        </is>
      </c>
      <c r="N82" s="9" t="inlineStr">
        <is>
          <t>World interactions and dialogue (owner, 2026-10-01, D-34)</t>
        </is>
      </c>
      <c r="O82" s="16" t="inlineStr">
        <is>
          <t>To do</t>
        </is>
      </c>
    </row>
    <row r="83" ht="124.15" customHeight="1" s="20">
      <c r="A83" s="7" t="inlineStr">
        <is>
          <t>US-154</t>
        </is>
      </c>
      <c r="B83" s="9" t="inlineStr">
        <is>
          <t>E14</t>
        </is>
      </c>
      <c r="C83" s="9" t="inlineStr">
        <is>
          <t>NPCs and animals use interactions</t>
        </is>
      </c>
      <c r="D83" s="9" t="inlineStr">
        <is>
          <t>As the player, I want clan members and animals to do the same things I can do, chosen by their needs and traits, so that I see them live in the world.</t>
        </is>
      </c>
      <c r="E83" s="9" t="inlineStr">
        <is>
          <t>Scenario: Hungry
Given a hungry clan member near a ripe bush
When time passes
Then they walk to the bush and gather, and the bush shows as picked
Scenario: Animals
Given a deer near grass and a wolf nearby
When time passes
Then the deer grazes and flees from the wolf
Scenario: Deterministic
Given the same seed and inputs
When two runs simulate 10,000 ticks
Then the world hashes match</t>
        </is>
      </c>
      <c r="F83" s="9" t="inlineStr">
        <is>
          <t>Must</t>
        </is>
      </c>
      <c r="G83" s="9" t="inlineStr">
        <is>
          <t>L</t>
        </is>
      </c>
      <c r="H83" s="9">
        <f>VLOOKUP(G83,'Read Me'!$A$13:$C$15,2,FALSE)</f>
        <v/>
      </c>
      <c r="I83" s="9">
        <f>VLOOKUP(G83,'Read Me'!$A$13:$C$15,3,FALSE)</f>
        <v/>
      </c>
      <c r="J83" s="9" t="inlineStr">
        <is>
          <t>M7</t>
        </is>
      </c>
      <c r="K83" s="9" t="inlineStr">
        <is>
          <t>US-153, US-030</t>
        </is>
      </c>
      <c r="L83" s="9" t="inlineStr">
        <is>
          <t>INT-05, SDC-02</t>
        </is>
      </c>
      <c r="M83" s="9" t="inlineStr">
        <is>
          <t>Utility scoring; sharing one system between player and AI</t>
        </is>
      </c>
      <c r="N83" s="9" t="inlineStr">
        <is>
          <t>World interactions and dialogue (owner, 2026-10-01, D-34)</t>
        </is>
      </c>
      <c r="O83" s="16" t="inlineStr">
        <is>
          <t>To do</t>
        </is>
      </c>
    </row>
    <row r="84" ht="124.15" customHeight="1" s="20">
      <c r="A84" s="7" t="inlineStr">
        <is>
          <t>US-155</t>
        </is>
      </c>
      <c r="B84" s="9" t="inlineStr">
        <is>
          <t>E14</t>
        </is>
      </c>
      <c r="C84" s="9" t="inlineStr">
        <is>
          <t>Age 1 world objects</t>
        </is>
      </c>
      <c r="D84" s="9" t="inlineStr">
        <is>
          <t>As a level designer, I want fire pits, knapping stones, stores, shelters, flint nodules, water and sleeping furs as placeable objects with their own actions, so that a camp is something to interact with.</t>
        </is>
      </c>
      <c r="E84" s="9" t="inlineStr">
        <is>
          <t>Scenario: Place
Given the Editor's object palette
When the owner places a fire pit
Then it appears in the level and is saved
Scenario: Use
Given a fire pit with no fire
When the hero chooses Light fire with a fire drill
Then the fire burns and warms people nearby
Scenario: Data
Given a new object kind added to objects.json
When the game reloads
Then it appears in the palette with its tags</t>
        </is>
      </c>
      <c r="F84" s="9" t="inlineStr">
        <is>
          <t>Should</t>
        </is>
      </c>
      <c r="G84" s="9" t="inlineStr">
        <is>
          <t>M</t>
        </is>
      </c>
      <c r="H84" s="9">
        <f>VLOOKUP(G84,'Read Me'!$A$13:$C$15,2,FALSE)</f>
        <v/>
      </c>
      <c r="I84" s="9">
        <f>VLOOKUP(G84,'Read Me'!$A$13:$C$15,3,FALSE)</f>
        <v/>
      </c>
      <c r="J84" s="9" t="inlineStr">
        <is>
          <t>M7</t>
        </is>
      </c>
      <c r="K84" s="9" t="inlineStr">
        <is>
          <t>US-151</t>
        </is>
      </c>
      <c r="L84" s="9" t="inlineStr">
        <is>
          <t>INT-02, INT-04</t>
        </is>
      </c>
      <c r="M84" s="9" t="inlineStr">
        <is>
          <t>Data-driven object kinds</t>
        </is>
      </c>
      <c r="N84" s="9" t="inlineStr">
        <is>
          <t>World interactions and dialogue (owner, 2026-10-01, D-34)</t>
        </is>
      </c>
      <c r="O84" s="16" t="inlineStr">
        <is>
          <t>To do</t>
        </is>
      </c>
    </row>
    <row r="85" ht="124.15" customHeight="1" s="20">
      <c r="A85" s="7" t="inlineStr">
        <is>
          <t>US-156</t>
        </is>
      </c>
      <c r="B85" s="9" t="inlineStr">
        <is>
          <t>E14</t>
        </is>
      </c>
      <c r="C85" s="9" t="inlineStr">
        <is>
          <t>Hot reload and the validation panel</t>
        </is>
      </c>
      <c r="D85" s="9" t="inlineStr">
        <is>
          <t>As the owner, I want to press F5 after editing a file offline and see my change, or a clear list of mistakes, so that I can iterate fast without restarting.</t>
        </is>
      </c>
      <c r="E85" s="9" t="inlineStr">
        <is>
          <t>Scenario: Reload
Given the game running and gather.json edited in Notepad
When the owner presses F5
Then the change is live within a second
Scenario: Bad file
Given a file with a syntax error
When the owner presses F5
Then a panel lists 'file:line: message' and the last good data stays in use
Scenario: Fix
Given the panel showing an error
When the owner fixes the file and presses F5
Then the panel closes and the new data is used</t>
        </is>
      </c>
      <c r="F85" s="9" t="inlineStr">
        <is>
          <t>Must</t>
        </is>
      </c>
      <c r="G85" s="9" t="inlineStr">
        <is>
          <t>M</t>
        </is>
      </c>
      <c r="H85" s="9">
        <f>VLOOKUP(G85,'Read Me'!$A$13:$C$15,2,FALSE)</f>
        <v/>
      </c>
      <c r="I85" s="9">
        <f>VLOOKUP(G85,'Read Me'!$A$13:$C$15,3,FALSE)</f>
        <v/>
      </c>
      <c r="J85" s="9" t="inlineStr">
        <is>
          <t>M7</t>
        </is>
      </c>
      <c r="K85" s="9" t="inlineStr">
        <is>
          <t>US-150</t>
        </is>
      </c>
      <c r="L85" s="9" t="inlineStr">
        <is>
          <t>INT-03</t>
        </is>
      </c>
      <c r="M85" s="9" t="inlineStr">
        <is>
          <t>Watching files and swapping data safely</t>
        </is>
      </c>
      <c r="N85" s="9" t="inlineStr">
        <is>
          <t>World interactions and dialogue (owner, 2026-10-01, D-34)</t>
        </is>
      </c>
      <c r="O85" s="16" t="inlineStr">
        <is>
          <t>To do</t>
        </is>
      </c>
    </row>
    <row r="86" ht="124.15" customHeight="1" s="20">
      <c r="A86" s="7" t="inlineStr">
        <is>
          <t>US-160</t>
        </is>
      </c>
      <c r="B86" s="9" t="inlineStr">
        <is>
          <t>E15</t>
        </is>
      </c>
      <c r="C86" s="9" t="inlineStr">
        <is>
          <t>The dialogue script format</t>
        </is>
      </c>
      <c r="D86" s="9" t="inlineStr">
        <is>
          <t>As the owner, I want to write conversations as plain text with speakers, choices, conditions and effects, so that I can write dialogue in any text editor.</t>
        </is>
      </c>
      <c r="E86" s="9" t="inlineStr">
        <is>
          <t>Scenario: Parse
Given elder-fire.dlg with three nodes, a conditional line and three choices
When the game loads it
Then the conversation has three nodes and the choices link to them
Scenario: Error
Given a choice that points to a missing node on line 9
When the game loads it
Then the error reads 'dialogue/elder-fire.dlg:9: unknown node "hunts"'
Scenario: Round trip
Given every shipped .dlg file
When it is loaded and written back
Then the text is the same, # notes included</t>
        </is>
      </c>
      <c r="F86" s="9" t="inlineStr">
        <is>
          <t>Must</t>
        </is>
      </c>
      <c r="G86" s="9" t="inlineStr">
        <is>
          <t>L</t>
        </is>
      </c>
      <c r="H86" s="9">
        <f>VLOOKUP(G86,'Read Me'!$A$13:$C$15,2,FALSE)</f>
        <v/>
      </c>
      <c r="I86" s="9">
        <f>VLOOKUP(G86,'Read Me'!$A$13:$C$15,3,FALSE)</f>
        <v/>
      </c>
      <c r="J86" s="9" t="inlineStr">
        <is>
          <t>M8</t>
        </is>
      </c>
      <c r="K86" s="9" t="inlineStr">
        <is>
          <t>US-150</t>
        </is>
      </c>
      <c r="L86" s="9" t="inlineStr">
        <is>
          <t>SDC-03, SDC-04, ADR-019</t>
        </is>
      </c>
      <c r="M86" s="9" t="inlineStr">
        <is>
          <t>Writing a line-based parser and a printer that round-trip</t>
        </is>
      </c>
      <c r="N86" s="9" t="inlineStr">
        <is>
          <t>World interactions and dialogue (owner, 2026-10-01, D-34)</t>
        </is>
      </c>
      <c r="O86" s="16" t="inlineStr">
        <is>
          <t>To do</t>
        </is>
      </c>
    </row>
    <row r="87" ht="124.15" customHeight="1" s="20">
      <c r="A87" s="7" t="inlineStr">
        <is>
          <t>US-161</t>
        </is>
      </c>
      <c r="B87" s="9" t="inlineStr">
        <is>
          <t>E15</t>
        </is>
      </c>
      <c r="C87" s="9" t="inlineStr">
        <is>
          <t>Conversations and the dialogue panel</t>
        </is>
      </c>
      <c r="D87" s="9" t="inlineStr">
        <is>
          <t>As the player, I want to talk to an NPC in a panel with their name, mood, words and my choices, so that speaking to people is part of play.</t>
        </is>
      </c>
      <c r="E87" s="9" t="inlineStr">
        <is>
          <t>Scenario: Talk
Given the hero next to the elder
When the player chooses Talk
Then the game pauses and the panel shows the elder's name, mood, first line and numbered choices
Scenario: Choose
Given the choice 'Offer berries' with its effects
When the player picks it with the mouse or the key 2
Then a berry leaves the bag, the elder's opinion rises by 5 and the next node is shown
Scenario: Hidden
Given a choice whose condition is false
When the node is shown
Then the choice is hidden, or shown disabled when the script marks it so</t>
        </is>
      </c>
      <c r="F87" s="9" t="inlineStr">
        <is>
          <t>Must</t>
        </is>
      </c>
      <c r="G87" s="9" t="inlineStr">
        <is>
          <t>L</t>
        </is>
      </c>
      <c r="H87" s="9">
        <f>VLOOKUP(G87,'Read Me'!$A$13:$C$15,2,FALSE)</f>
        <v/>
      </c>
      <c r="I87" s="9">
        <f>VLOOKUP(G87,'Read Me'!$A$13:$C$15,3,FALSE)</f>
        <v/>
      </c>
      <c r="J87" s="9" t="inlineStr">
        <is>
          <t>M8</t>
        </is>
      </c>
      <c r="K87" s="9" t="inlineStr">
        <is>
          <t>US-160</t>
        </is>
      </c>
      <c r="L87" s="9" t="inlineStr">
        <is>
          <t>SDC-03</t>
        </is>
      </c>
      <c r="M87" s="9" t="inlineStr">
        <is>
          <t>A small state machine over data; immediate-mode UI</t>
        </is>
      </c>
      <c r="N87" s="9" t="inlineStr">
        <is>
          <t>World interactions and dialogue (owner, 2026-10-01, D-34)</t>
        </is>
      </c>
      <c r="O87" s="16" t="inlineStr">
        <is>
          <t>To do</t>
        </is>
      </c>
    </row>
    <row r="88" ht="124.15" customHeight="1" s="20">
      <c r="A88" s="7" t="inlineStr">
        <is>
          <t>US-162</t>
        </is>
      </c>
      <c r="B88" s="9" t="inlineStr">
        <is>
          <t>E15</t>
        </is>
      </c>
      <c r="C88" s="9" t="inlineStr">
        <is>
          <t>Who says what</t>
        </is>
      </c>
      <c r="D88" s="9" t="inlineStr">
        <is>
          <t>As the owner, I want conversations chosen by character, role, kind, opinion and priority, with short greetings, so that each NPC sounds like themselves.</t>
        </is>
      </c>
      <c r="E88" s="9" t="inlineStr">
        <is>
          <t>Scenario: Specific first
Given a script for the placed character 'Ama' and one for all elders
When the hero talks to Ama
Then Ama's own script is used
Scenario: Opinion
Given a script with @when opinion(npc, hero) &lt; -30
When an NPC who dislikes the hero is spoken to
Then that script is used
Scenario: Greeting
Given the hero passing within 3 m of a friendly NPC
When it happens
Then a short greeting bubble appears, at most once a minute per NPC</t>
        </is>
      </c>
      <c r="F88" s="9" t="inlineStr">
        <is>
          <t>Must</t>
        </is>
      </c>
      <c r="G88" s="9" t="inlineStr">
        <is>
          <t>M</t>
        </is>
      </c>
      <c r="H88" s="9">
        <f>VLOOKUP(G88,'Read Me'!$A$13:$C$15,2,FALSE)</f>
        <v/>
      </c>
      <c r="I88" s="9">
        <f>VLOOKUP(G88,'Read Me'!$A$13:$C$15,3,FALSE)</f>
        <v/>
      </c>
      <c r="J88" s="9" t="inlineStr">
        <is>
          <t>M8</t>
        </is>
      </c>
      <c r="K88" s="9" t="inlineStr">
        <is>
          <t>US-161</t>
        </is>
      </c>
      <c r="L88" s="9" t="inlineStr">
        <is>
          <t>SDC-03</t>
        </is>
      </c>
      <c r="M88" s="9" t="inlineStr">
        <is>
          <t>Ranking candidates with std::ranges::max_element</t>
        </is>
      </c>
      <c r="N88" s="9" t="inlineStr">
        <is>
          <t>World interactions and dialogue (owner, 2026-10-01, D-34)</t>
        </is>
      </c>
      <c r="O88" s="16" t="inlineStr">
        <is>
          <t>To do</t>
        </is>
      </c>
    </row>
    <row r="89" ht="124.15" customHeight="1" s="20">
      <c r="A89" s="7" t="inlineStr">
        <is>
          <t>US-163</t>
        </is>
      </c>
      <c r="B89" s="9" t="inlineStr">
        <is>
          <t>E15</t>
        </is>
      </c>
      <c r="C89" s="9" t="inlineStr">
        <is>
          <t>Generated small talk</t>
        </is>
      </c>
      <c r="D89" s="9" t="inlineStr">
        <is>
          <t>As the player, I want NPCs without a written line to talk about what they remember, what they heard and how they feel, so that every clan member has something to say.</t>
        </is>
      </c>
      <c r="E89" s="9" t="inlineStr">
        <is>
          <t>Scenario: Memory
Given an NPC who saw a wolf at the fire yesterday
When the hero talks to them with no script
Then they mention the wolf in their own words
Scenario: Gossip
Given an NPC who heard that Bo blamed Ama
When the topic 'people' comes up
Then they repeat the gossip and say how they feel about it
Scenario: Variety
Given 50 small-talk lines from one seed
When the owner reads them
Then no line repeats more than twice</t>
        </is>
      </c>
      <c r="F89" s="9" t="inlineStr">
        <is>
          <t>Must</t>
        </is>
      </c>
      <c r="G89" s="9" t="inlineStr">
        <is>
          <t>M</t>
        </is>
      </c>
      <c r="H89" s="9">
        <f>VLOOKUP(G89,'Read Me'!$A$13:$C$15,2,FALSE)</f>
        <v/>
      </c>
      <c r="I89" s="9">
        <f>VLOOKUP(G89,'Read Me'!$A$13:$C$15,3,FALSE)</f>
        <v/>
      </c>
      <c r="J89" s="9" t="inlineStr">
        <is>
          <t>M8</t>
        </is>
      </c>
      <c r="K89" s="9" t="inlineStr">
        <is>
          <t>US-161, US-012</t>
        </is>
      </c>
      <c r="L89" s="9" t="inlineStr">
        <is>
          <t>SDC-03, STO-02</t>
        </is>
      </c>
      <c r="M89" s="9" t="inlineStr">
        <is>
          <t>Text templates with tokens</t>
        </is>
      </c>
      <c r="N89" s="9" t="inlineStr">
        <is>
          <t>World interactions and dialogue (owner, 2026-10-01, D-34)</t>
        </is>
      </c>
      <c r="O89" s="16" t="inlineStr">
        <is>
          <t>To do</t>
        </is>
      </c>
    </row>
    <row r="90" ht="124.15" customHeight="1" s="20">
      <c r="A90" s="7" t="inlineStr">
        <is>
          <t>US-164</t>
        </is>
      </c>
      <c r="B90" s="9" t="inlineStr">
        <is>
          <t>E15</t>
        </is>
      </c>
      <c r="C90" s="9" t="inlineStr">
        <is>
          <t>Conversations are remembered</t>
        </is>
      </c>
      <c r="D90" s="9" t="inlineStr">
        <is>
          <t>As the player, I want what I say to matter later, so that people remember kindness and insults and talk about them.</t>
        </is>
      </c>
      <c r="E90" s="9" t="inlineStr">
        <is>
          <t>Scenario: Memory
Given the hero insults Bo in a conversation
When it ends
Then Bo has a memory with a bad feeling and his opinion of the hero falls
Scenario: Gossip
Given that memory
When two days pass
Then Bo's friends have heard it at half strength
Scenario: Saved
Given flags set in conversations
When the game saves and loads
Then the flags and the conversation memories are still there</t>
        </is>
      </c>
      <c r="F90" s="9" t="inlineStr">
        <is>
          <t>Must</t>
        </is>
      </c>
      <c r="G90" s="9" t="inlineStr">
        <is>
          <t>M</t>
        </is>
      </c>
      <c r="H90" s="9">
        <f>VLOOKUP(G90,'Read Me'!$A$13:$C$15,2,FALSE)</f>
        <v/>
      </c>
      <c r="I90" s="9">
        <f>VLOOKUP(G90,'Read Me'!$A$13:$C$15,3,FALSE)</f>
        <v/>
      </c>
      <c r="J90" s="9" t="inlineStr">
        <is>
          <t>M8</t>
        </is>
      </c>
      <c r="K90" s="9" t="inlineStr">
        <is>
          <t>US-161</t>
        </is>
      </c>
      <c r="L90" s="9" t="inlineStr">
        <is>
          <t>SDC-03, SDC-02, STO-03</t>
        </is>
      </c>
      <c r="M90" s="9" t="inlineStr">
        <is>
          <t>Linking dialogue effects to the memory system</t>
        </is>
      </c>
      <c r="N90" s="9" t="inlineStr">
        <is>
          <t>World interactions and dialogue (owner, 2026-10-01, D-34)</t>
        </is>
      </c>
      <c r="O90" s="16" t="inlineStr">
        <is>
          <t>To do</t>
        </is>
      </c>
    </row>
    <row r="91" ht="124.15" customHeight="1" s="20">
      <c r="A91" s="7" t="inlineStr">
        <is>
          <t>US-165</t>
        </is>
      </c>
      <c r="B91" s="9" t="inlineStr">
        <is>
          <t>E15</t>
        </is>
      </c>
      <c r="C91" s="9" t="inlineStr">
        <is>
          <t>NPCs talk to each other</t>
        </is>
      </c>
      <c r="D91" s="9" t="inlineStr">
        <is>
          <t>As the player, I want to see clan members talk in speech bubbles, so that quarrels, courtship and sharing happen in front of me.</t>
        </is>
      </c>
      <c r="E91" s="9" t="inlineStr">
        <is>
          <t>Scenario: Bubbles
Given two friends at the fire in the evening
When they talk
Then bubbles with short lines appear over their heads in turn
Scenario: Quarrel
Given a quarrel started by the social simulation
When it happens near the hero
Then the quarrel is shown as angry lines and both opinions fall
Scenario: Readable
Given a bubble on screen
When 3 s pass or the next line starts
Then it disappears</t>
        </is>
      </c>
      <c r="F91" s="9" t="inlineStr">
        <is>
          <t>Should</t>
        </is>
      </c>
      <c r="G91" s="9" t="inlineStr">
        <is>
          <t>M</t>
        </is>
      </c>
      <c r="H91" s="9">
        <f>VLOOKUP(G91,'Read Me'!$A$13:$C$15,2,FALSE)</f>
        <v/>
      </c>
      <c r="I91" s="9">
        <f>VLOOKUP(G91,'Read Me'!$A$13:$C$15,3,FALSE)</f>
        <v/>
      </c>
      <c r="J91" s="9" t="inlineStr">
        <is>
          <t>M8</t>
        </is>
      </c>
      <c r="K91" s="9" t="inlineStr">
        <is>
          <t>US-162, US-154</t>
        </is>
      </c>
      <c r="L91" s="9" t="inlineStr">
        <is>
          <t>SDC-05, SDC-02</t>
        </is>
      </c>
      <c r="M91" s="9" t="inlineStr">
        <is>
          <t>Scheduling short timed events</t>
        </is>
      </c>
      <c r="N91" s="9" t="inlineStr">
        <is>
          <t>World interactions and dialogue (owner, 2026-10-01, D-34)</t>
        </is>
      </c>
      <c r="O91" s="16" t="inlineStr">
        <is>
          <t>To do</t>
        </is>
      </c>
    </row>
    <row r="92" ht="124.15" customHeight="1" s="20">
      <c r="A92" s="7" t="inlineStr">
        <is>
          <t>US-170</t>
        </is>
      </c>
      <c r="B92" s="9" t="inlineStr">
        <is>
          <t>E16</t>
        </is>
      </c>
      <c r="C92" s="9" t="inlineStr">
        <is>
          <t>Node-graph widget</t>
        </is>
      </c>
      <c r="D92" s="9" t="inlineStr">
        <is>
          <t>As the owner, I want a canvas with nodes and wires that I can pan, zoom, select, drag and undo, so that rules and conversations can be edited visually.</t>
        </is>
      </c>
      <c r="E92" s="9" t="inlineStr">
        <is>
          <t>Scenario: Edit
Given an empty graph
When the owner adds two nodes and drags a wire between their ports
Then the wire connects them
Scenario: Navigate
Given a graph larger than the screen
When the owner drags with the right button and turns the wheel
Then the view pans and zooms around the cursor
Scenario: Undo
Given ten graph edits
When the owner presses Ctrl+Z ten times
Then the graph is as it was</t>
        </is>
      </c>
      <c r="F92" s="9" t="inlineStr">
        <is>
          <t>Must</t>
        </is>
      </c>
      <c r="G92" s="9" t="inlineStr">
        <is>
          <t>L</t>
        </is>
      </c>
      <c r="H92" s="9">
        <f>VLOOKUP(G92,'Read Me'!$A$13:$C$15,2,FALSE)</f>
        <v/>
      </c>
      <c r="I92" s="9">
        <f>VLOOKUP(G92,'Read Me'!$A$13:$C$15,3,FALSE)</f>
        <v/>
      </c>
      <c r="J92" s="9" t="inlineStr">
        <is>
          <t>M9</t>
        </is>
      </c>
      <c r="K92" s="9" t="inlineStr">
        <is>
          <t>US-121, US-126</t>
        </is>
      </c>
      <c r="L92" s="9" t="inlineStr">
        <is>
          <t>INT-06, SDC-06, ARC-09</t>
        </is>
      </c>
      <c r="M92" s="9" t="inlineStr">
        <is>
          <t>Graph data structures; hit testing; the Command pattern</t>
        </is>
      </c>
      <c r="N92" s="9" t="inlineStr">
        <is>
          <t>World interactions and dialogue (owner, 2026-10-01, D-34)</t>
        </is>
      </c>
      <c r="O92" s="16" t="inlineStr">
        <is>
          <t>To do</t>
        </is>
      </c>
    </row>
    <row r="93" ht="124.15" customHeight="1" s="20">
      <c r="A93" s="7" t="inlineStr">
        <is>
          <t>US-171</t>
        </is>
      </c>
      <c r="B93" s="9" t="inlineStr">
        <is>
          <t>E16</t>
        </is>
      </c>
      <c r="C93" s="9" t="inlineStr">
        <is>
          <t>Dialogue graph editor</t>
        </is>
      </c>
      <c r="D93" s="9" t="inlineStr">
        <is>
          <t>As the owner, I want to open a conversation as a graph, edit lines, choices, conditions and effects, and save it, so that I can write dialogue in the game.</t>
        </is>
      </c>
      <c r="E93" s="9" t="inlineStr">
        <is>
          <t>Scenario: Open
Given elder-fire.dlg
When the owner opens it in the Editor
Then each node is a box with its lines and each choice is a wire to its target
Scenario: Save
Given a node added and a choice rewired
When the owner presses Ctrl+S
Then the .dlg text shows the change in canonical form and the positions are in elder-fire.dlg.layout.json
Scenario: Hand edits
Given a file edited in Notepad with # notes
When it is opened, changed in the graph and saved
Then the notes are still there</t>
        </is>
      </c>
      <c r="F93" s="9" t="inlineStr">
        <is>
          <t>Must</t>
        </is>
      </c>
      <c r="G93" s="9" t="inlineStr">
        <is>
          <t>L</t>
        </is>
      </c>
      <c r="H93" s="9">
        <f>VLOOKUP(G93,'Read Me'!$A$13:$C$15,2,FALSE)</f>
        <v/>
      </c>
      <c r="I93" s="9">
        <f>VLOOKUP(G93,'Read Me'!$A$13:$C$15,3,FALSE)</f>
        <v/>
      </c>
      <c r="J93" s="9" t="inlineStr">
        <is>
          <t>M9</t>
        </is>
      </c>
      <c r="K93" s="9" t="inlineStr">
        <is>
          <t>US-170, US-160</t>
        </is>
      </c>
      <c r="L93" s="9" t="inlineStr">
        <is>
          <t>SDC-06, INT-03</t>
        </is>
      </c>
      <c r="M93" s="9" t="inlineStr">
        <is>
          <t>Mapping between a text format and a graph</t>
        </is>
      </c>
      <c r="N93" s="9" t="inlineStr">
        <is>
          <t>World interactions and dialogue (owner, 2026-10-01, D-34)</t>
        </is>
      </c>
      <c r="O93" s="16" t="inlineStr">
        <is>
          <t>To do</t>
        </is>
      </c>
    </row>
    <row r="94" ht="124.15" customHeight="1" s="20">
      <c r="A94" s="7" t="inlineStr">
        <is>
          <t>US-172</t>
        </is>
      </c>
      <c r="B94" s="9" t="inlineStr">
        <is>
          <t>E16</t>
        </is>
      </c>
      <c r="C94" s="9" t="inlineStr">
        <is>
          <t>Interaction graph editor</t>
        </is>
      </c>
      <c r="D94" s="9" t="inlineStr">
        <is>
          <t>As the owner, I want to see and edit interactions as actor, verb and target nodes with condition and effect blocks, so that I can design how things act on each other.</t>
        </is>
      </c>
      <c r="E94" s="9" t="inlineStr">
        <is>
          <t>Scenario: View
Given the interactions folder
When the owner opens the interaction graph
Then actors, verbs and target tags are nodes and each interaction is a path between them
Scenario: Edit
Given Gather selected
When the owner changes its duration to 2 s and adds the effect 'fx leaves'
Then gather.json is saved with the change
Scenario: Pickers
Given a condition or effect field
When the owner types
Then items, tags, needs and nodes are offered from the catalogs</t>
        </is>
      </c>
      <c r="F94" s="9" t="inlineStr">
        <is>
          <t>Must</t>
        </is>
      </c>
      <c r="G94" s="9" t="inlineStr">
        <is>
          <t>L</t>
        </is>
      </c>
      <c r="H94" s="9">
        <f>VLOOKUP(G94,'Read Me'!$A$13:$C$15,2,FALSE)</f>
        <v/>
      </c>
      <c r="I94" s="9">
        <f>VLOOKUP(G94,'Read Me'!$A$13:$C$15,3,FALSE)</f>
        <v/>
      </c>
      <c r="J94" s="9" t="inlineStr">
        <is>
          <t>M9</t>
        </is>
      </c>
      <c r="K94" s="9" t="inlineStr">
        <is>
          <t>US-170, US-150</t>
        </is>
      </c>
      <c r="L94" s="9" t="inlineStr">
        <is>
          <t>INT-06</t>
        </is>
      </c>
      <c r="M94" s="9" t="inlineStr">
        <is>
          <t>Forms built from a schema; pickers over catalogs</t>
        </is>
      </c>
      <c r="N94" s="9" t="inlineStr">
        <is>
          <t>World interactions and dialogue (owner, 2026-10-01, D-34)</t>
        </is>
      </c>
      <c r="O94" s="16" t="inlineStr">
        <is>
          <t>To do</t>
        </is>
      </c>
    </row>
    <row r="95" ht="124.15" customHeight="1" s="20">
      <c r="A95" s="7" t="inlineStr">
        <is>
          <t>US-173</t>
        </is>
      </c>
      <c r="B95" s="9" t="inlineStr">
        <is>
          <t>E16</t>
        </is>
      </c>
      <c r="C95" s="9" t="inlineStr">
        <is>
          <t>Attach to placed things</t>
        </is>
      </c>
      <c r="D95" s="9" t="inlineStr">
        <is>
          <t>As a level designer, I want to give a placed character a conversation and a placed object its own interactions, so that each level can have its own people and places.</t>
        </is>
      </c>
      <c r="E95" s="9" t="inlineStr">
        <is>
          <t>Scenario: Attach
Given a placed character selected
When the owner picks 'elder-fire' as its dialogue
Then talking to that character in Game mode starts elder-fire
Scenario: Override
Given a placed bush selected
When the owner sets its regrow time to 60 s
Then only that bush regrows in 60 s
Scenario: Saved
Given attached dialogues and overrides
When the level is saved and loaded
Then they are still attached</t>
        </is>
      </c>
      <c r="F95" s="9" t="inlineStr">
        <is>
          <t>Must</t>
        </is>
      </c>
      <c r="G95" s="9" t="inlineStr">
        <is>
          <t>M</t>
        </is>
      </c>
      <c r="H95" s="9">
        <f>VLOOKUP(G95,'Read Me'!$A$13:$C$15,2,FALSE)</f>
        <v/>
      </c>
      <c r="I95" s="9">
        <f>VLOOKUP(G95,'Read Me'!$A$13:$C$15,3,FALSE)</f>
        <v/>
      </c>
      <c r="J95" s="9" t="inlineStr">
        <is>
          <t>M9</t>
        </is>
      </c>
      <c r="K95" s="9" t="inlineStr">
        <is>
          <t>US-171, US-172</t>
        </is>
      </c>
      <c r="L95" s="9" t="inlineStr">
        <is>
          <t>SDC-06, INT-06</t>
        </is>
      </c>
      <c r="M95" s="9" t="inlineStr">
        <is>
          <t>Per-instance overrides of shared data</t>
        </is>
      </c>
      <c r="N95" s="9" t="inlineStr">
        <is>
          <t>World interactions and dialogue (owner, 2026-10-01, D-34)</t>
        </is>
      </c>
      <c r="O95" s="16" t="inlineStr">
        <is>
          <t>To do</t>
        </is>
      </c>
    </row>
    <row r="96" ht="124.15" customHeight="1" s="20">
      <c r="A96" s="7" t="inlineStr">
        <is>
          <t>US-174</t>
        </is>
      </c>
      <c r="B96" s="9" t="inlineStr">
        <is>
          <t>E16</t>
        </is>
      </c>
      <c r="C96" s="9" t="inlineStr">
        <is>
          <t>Test-play from the Editor</t>
        </is>
      </c>
      <c r="D96" s="9" t="inlineStr">
        <is>
          <t>As the owner, I want to play a conversation or an interaction from the Editor with conditions I choose, so that I can check every branch without playing the game for hours.</t>
        </is>
      </c>
      <c r="E96" s="9" t="inlineStr">
        <is>
          <t>Scenario: Branch
Given a choice that needs opinion &gt;= 20
When the owner sets the opinion to 25 and test-plays
Then the choice is offered
Scenario: Start anywhere
Given a node selected
When the owner chooses Play from here
Then the conversation starts at that node
Scenario: No side effects
Given a test-play that gives items
When it ends
Then the level and the save are unchanged</t>
        </is>
      </c>
      <c r="F96" s="9" t="inlineStr">
        <is>
          <t>Should</t>
        </is>
      </c>
      <c r="G96" s="9" t="inlineStr">
        <is>
          <t>M</t>
        </is>
      </c>
      <c r="H96" s="9">
        <f>VLOOKUP(G96,'Read Me'!$A$13:$C$15,2,FALSE)</f>
        <v/>
      </c>
      <c r="I96" s="9">
        <f>VLOOKUP(G96,'Read Me'!$A$13:$C$15,3,FALSE)</f>
        <v/>
      </c>
      <c r="J96" s="9" t="inlineStr">
        <is>
          <t>M9</t>
        </is>
      </c>
      <c r="K96" s="9" t="inlineStr">
        <is>
          <t>US-171, US-172</t>
        </is>
      </c>
      <c r="L96" s="9" t="inlineStr">
        <is>
          <t>SDC-06, INT-06</t>
        </is>
      </c>
      <c r="M96" s="9" t="inlineStr">
        <is>
          <t>Faking inputs for tests (test doubles)</t>
        </is>
      </c>
      <c r="N96" s="9" t="inlineStr">
        <is>
          <t>World interactions and dialogue (owner, 2026-10-01, D-34)</t>
        </is>
      </c>
      <c r="O96" s="16" t="inlineStr">
        <is>
          <t>To do</t>
        </is>
      </c>
    </row>
    <row r="97" ht="124.15" customHeight="1" s="20">
      <c r="A97" s="7" t="inlineStr">
        <is>
          <t>US-175</t>
        </is>
      </c>
      <c r="B97" s="9" t="inlineStr">
        <is>
          <t>E16</t>
        </is>
      </c>
      <c r="C97" s="9" t="inlineStr">
        <is>
          <t>Graph validation</t>
        </is>
      </c>
      <c r="D97" s="9" t="inlineStr">
        <is>
          <t>As the owner, I want unreachable nodes, dead ends and unknown names listed and clickable, so that broken conversations never reach players.</t>
        </is>
      </c>
      <c r="E97" s="9" t="inlineStr">
        <is>
          <t>Scenario: Unreachable
Given a node no choice leads to
When validation runs
Then it is listed and clicking it selects the node
Scenario: Dead end
Given a node with no choice and no END
When validation runs
Then it is listed as a dead end
Scenario: Unknown
Given an effect giving an item no catalog has
When validation runs
Then the item name and the node are listed</t>
        </is>
      </c>
      <c r="F97" s="9" t="inlineStr">
        <is>
          <t>Must</t>
        </is>
      </c>
      <c r="G97" s="9" t="inlineStr">
        <is>
          <t>S</t>
        </is>
      </c>
      <c r="H97" s="9">
        <f>VLOOKUP(G97,'Read Me'!$A$13:$C$15,2,FALSE)</f>
        <v/>
      </c>
      <c r="I97" s="9">
        <f>VLOOKUP(G97,'Read Me'!$A$13:$C$15,3,FALSE)</f>
        <v/>
      </c>
      <c r="J97" s="9" t="inlineStr">
        <is>
          <t>M9</t>
        </is>
      </c>
      <c r="K97" s="9" t="inlineStr">
        <is>
          <t>US-171, US-172</t>
        </is>
      </c>
      <c r="L97" s="9" t="inlineStr">
        <is>
          <t>INT-03, SDC-06</t>
        </is>
      </c>
      <c r="M97" s="9" t="inlineStr">
        <is>
          <t>Graph traversal (breadth-first search)</t>
        </is>
      </c>
      <c r="N97" s="9" t="inlineStr">
        <is>
          <t>World interactions and dialogue (owner, 2026-10-01, D-34)</t>
        </is>
      </c>
      <c r="O97" s="16" t="inlineStr">
        <is>
          <t>To do</t>
        </is>
      </c>
    </row>
  </sheetData>
  <autoFilter ref="A4:O48"/>
  <conditionalFormatting sqref="F5:F75">
    <cfRule type="cellIs" priority="1" operator="equal" dxfId="0">
      <formula>"Must"</formula>
    </cfRule>
    <cfRule type="cellIs" priority="2" operator="equal" dxfId="4">
      <formula>"Should"</formula>
    </cfRule>
    <cfRule type="cellIs" priority="3" operator="equal" dxfId="2">
      <formula>"Could"</formula>
    </cfRule>
  </conditionalFormatting>
  <conditionalFormatting sqref="O5:O75">
    <cfRule type="cellIs" priority="4" operator="equal" dxfId="2">
      <formula>"Done"</formula>
    </cfRule>
    <cfRule type="cellIs" priority="5" operator="equal" dxfId="1">
      <formula>"In progress"</formula>
    </cfRule>
    <cfRule type="cellIs" priority="6" operator="equal" dxfId="0">
      <formula>"Blocked"</formula>
    </cfRule>
  </conditionalFormatting>
  <dataValidations count="1">
    <dataValidation sqref="O5:O200" showDropDown="0" showInputMessage="0" showErrorMessage="0" allowBlank="0" type="list">
      <formula1>"To do,In progress,Blocked,Done"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2" customWidth="1" style="20" min="1" max="1"/>
    <col width="70" customWidth="1" style="20" min="2" max="2"/>
    <col width="28" customWidth="1" style="20" min="3" max="3"/>
  </cols>
  <sheetData>
    <row r="1" ht="20.25" customHeight="1" s="20">
      <c r="A1" s="1" t="inlineStr">
        <is>
          <t>Out of the MVP (and when it returns)</t>
        </is>
      </c>
    </row>
    <row r="2">
      <c r="A2" s="2" t="inlineStr">
        <is>
          <t>Saying no, with reasons. Nothing here is lost: each item returns on the roadmap.</t>
        </is>
      </c>
    </row>
    <row r="3"/>
    <row r="4">
      <c r="A4" s="6" t="inlineStr">
        <is>
          <t>Item</t>
        </is>
      </c>
      <c r="B4" s="6" t="inlineStr">
        <is>
          <t>Why it is cut from the MVP</t>
        </is>
      </c>
      <c r="C4" s="6" t="inlineStr">
        <is>
          <t>Returns</t>
        </is>
      </c>
    </row>
    <row r="5">
      <c r="A5" s="7" t="inlineStr">
        <is>
          <t>Android and iOS builds</t>
        </is>
      </c>
      <c r="B5" s="9" t="inlineStr">
        <is>
          <t>No hypothesis depends on them; architecture already protects portability.</t>
        </is>
      </c>
      <c r="C5" s="9" t="inlineStr">
        <is>
          <t>After MVP (learning stage 11)</t>
        </is>
      </c>
    </row>
    <row r="6">
      <c r="A6" s="7" t="inlineStr">
        <is>
          <t>Ages 2-10, Mythic Strands, Phase 2 space</t>
        </is>
      </c>
      <c r="B6" s="9" t="inlineStr">
        <is>
          <t>Each is a content project; the MVP must first prove Age 1 is fun.</t>
        </is>
      </c>
      <c r="C6" s="9" t="inlineStr">
        <is>
          <t>Post-MVP roadmap</t>
        </is>
      </c>
    </row>
    <row r="7" ht="25.5" customHeight="1" s="20">
      <c r="A7" s="7" t="inlineStr">
        <is>
          <t>Whole planet, prehistory world-gen, LOD tiers Remote and Planet</t>
        </is>
      </c>
      <c r="B7" s="9" t="inlineStr">
        <is>
          <t>A region is enough to test the loop; planet scale is a performance project of its own.</t>
        </is>
      </c>
      <c r="C7" s="9" t="inlineStr">
        <is>
          <t>Next</t>
        </is>
      </c>
    </row>
    <row r="8" ht="25.5" customHeight="1" s="20">
      <c r="A8" s="7" t="inlineStr">
        <is>
          <t>Military, Politics, Technology, Ideology pillars</t>
        </is>
      </c>
      <c r="B8" s="9" t="inlineStr">
        <is>
          <t>Two pillars are enough to test 'many paths to dominance'; combat is the most expensive system.</t>
        </is>
      </c>
      <c r="C8" s="9" t="inlineStr">
        <is>
          <t>Next (Politics), Later (others)</t>
        </is>
      </c>
    </row>
    <row r="9" ht="25.5" customHeight="1" s="20">
      <c r="A9" s="7" t="inlineStr">
        <is>
          <t>Dynasty, Reincarnation, Rotating Avatar modes</t>
        </is>
      </c>
      <c r="B9" s="9" t="inlineStr">
        <is>
          <t>One mode tests the loop; the Succession system is built so others are configuration later.</t>
        </is>
      </c>
      <c r="C9" s="9" t="inlineStr">
        <is>
          <t>Next (Dynasty)</t>
        </is>
      </c>
    </row>
    <row r="10" ht="25.5" customHeight="1" s="20">
      <c r="A10" s="7" t="inlineStr">
        <is>
          <t>Character Creator, Origin/Tribe, Legend modifiers</t>
        </is>
      </c>
      <c r="B10" s="9" t="inlineStr">
        <is>
          <t>Unlocks need progression that the MVP does not have yet.</t>
        </is>
      </c>
      <c r="C10" s="9" t="inlineStr">
        <is>
          <t>Next</t>
        </is>
      </c>
    </row>
    <row r="11">
      <c r="A11" s="7" t="inlineStr">
        <is>
          <t>Ideology Forge, custom titles</t>
        </is>
      </c>
      <c r="B11" s="9" t="inlineStr">
        <is>
          <t>Depend on cut pillars.</t>
        </is>
      </c>
      <c r="C11" s="9" t="inlineStr">
        <is>
          <t>Later</t>
        </is>
      </c>
    </row>
    <row r="12">
      <c r="A12" s="7" t="inlineStr">
        <is>
          <t>Real art pipeline, music</t>
        </is>
      </c>
      <c r="B12" s="9" t="inlineStr">
        <is>
          <t>Placeholder art is enough to test fun; art is expensive to redo.</t>
        </is>
      </c>
      <c r="C12" s="9" t="inlineStr">
        <is>
          <t>After the fun is proven</t>
        </is>
      </c>
    </row>
    <row r="13" ht="25.5" customHeight="1" s="20">
      <c r="A13" s="7" t="inlineStr">
        <is>
          <t>Steam integration, achievements, cloud saves</t>
        </is>
      </c>
      <c r="B13" s="9" t="inlineStr">
        <is>
          <t>Distribution is not the MVP question (OPEN-18).</t>
        </is>
      </c>
      <c r="C13" s="9" t="inlineStr">
        <is>
          <t>Launch</t>
        </is>
      </c>
    </row>
    <row r="14" ht="38.25" customHeight="1" s="20">
      <c r="A14" s="7" t="inlineStr">
        <is>
          <t>Advanced physics and chemistry (explosions, vehicles, orbits, heat, fire spread, reactions)</t>
        </is>
      </c>
      <c r="B14" s="9" t="inlineStr">
        <is>
          <t>Age 1 needs hit detection, ballistics, basic bodies and material properties only; the rest belongs to later Ages.</t>
        </is>
      </c>
      <c r="C14" s="9" t="inlineStr">
        <is>
          <t>With the Age that needs it (PHY-05, PHY-06)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style="20" min="1" max="1"/>
  </cols>
  <sheetData>
    <row r="1" ht="20.25" customHeight="1" s="20">
      <c r="A1" s="1" t="inlineStr">
        <is>
          <t>Definition of Ready and Definition of Done</t>
        </is>
      </c>
    </row>
    <row r="2">
      <c r="A2" s="2" t="inlineStr">
        <is>
          <t>Apply to every story.</t>
        </is>
      </c>
    </row>
    <row r="3"/>
    <row r="4">
      <c r="A4" s="6" t="inlineStr">
        <is>
          <t>Definition of Ready: a story may start when...</t>
        </is>
      </c>
    </row>
    <row r="5">
      <c r="A5" s="9" t="inlineStr">
        <is>
          <t>The story traces to an MVP scope item or a requirement.</t>
        </is>
      </c>
    </row>
    <row r="6">
      <c r="A6" s="9" t="inlineStr">
        <is>
          <t>Its design dependencies are Decided (see Dependencies).</t>
        </is>
      </c>
    </row>
    <row r="7">
      <c r="A7" s="9" t="inlineStr">
        <is>
          <t>Acceptance criteria are testable and agreed.</t>
        </is>
      </c>
    </row>
    <row r="8">
      <c r="A8" s="9" t="inlineStr">
        <is>
          <t>It fits in one milestone; if larger than L, it is split first.</t>
        </is>
      </c>
    </row>
    <row r="9"/>
    <row r="10">
      <c r="A10" s="6" t="inlineStr">
        <is>
          <t>Definition of Done: a story is Done when...</t>
        </is>
      </c>
    </row>
    <row r="11">
      <c r="A11" s="9" t="inlineStr">
        <is>
          <t>Code compiles with zero warnings in Debug and Release (x64).</t>
        </is>
      </c>
    </row>
    <row r="12">
      <c r="A12" s="9" t="inlineStr">
        <is>
          <t>All acceptance criteria verified; automated tests written where the story is testable headless.</t>
        </is>
      </c>
    </row>
    <row r="13">
      <c r="A13" s="9" t="inlineStr">
        <is>
          <t>CI is green on the main branch.</t>
        </is>
      </c>
    </row>
    <row r="14">
      <c r="A14" s="9" t="inlineStr">
        <is>
          <t>No layer rule broken (Simulation does not include Engine, Platform or SDL3).</t>
        </is>
      </c>
    </row>
    <row r="15">
      <c r="A15" s="9" t="inlineStr">
        <is>
          <t>Determinism test still passes.</t>
        </is>
      </c>
    </row>
    <row r="16">
      <c r="A16" s="9" t="inlineStr">
        <is>
          <t>Code reviewed with Dominus; anything unclear explained in the learning journal.</t>
        </is>
      </c>
    </row>
    <row r="17">
      <c r="A17" s="9" t="inlineStr">
        <is>
          <t>Requirements document updated if behaviour differs from what it says.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2026-09-29T19:32:09Z</dcterms:created>
  <dcterms:modified xmlns:dcterms="http://purl.org/dc/terms/" xmlns:xsi="http://www.w3.org/2001/XMLSchema-instance" xsi:type="dcterms:W3CDTF">2026-10-01T06:47:08Z</dcterms:modified>
  <cp:lastModifiedBy>Amek</cp:lastModifiedBy>
</cp:coreProperties>
</file>